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" sheetId="1" r:id="rId4"/>
    <sheet state="visible" name="Produtos" sheetId="2" r:id="rId5"/>
    <sheet state="visible" name="Março" sheetId="3" r:id="rId6"/>
    <sheet state="visible" name="Abril" sheetId="4" r:id="rId7"/>
    <sheet state="visible" name="Caixa" sheetId="5" r:id="rId8"/>
    <sheet state="visible" name="Trote" sheetId="6" r:id="rId9"/>
    <sheet state="visible" name="Itens" sheetId="7" r:id="rId10"/>
  </sheets>
  <definedNames/>
  <calcPr/>
</workbook>
</file>

<file path=xl/sharedStrings.xml><?xml version="1.0" encoding="utf-8"?>
<sst xmlns="http://schemas.openxmlformats.org/spreadsheetml/2006/main" count="461" uniqueCount="100">
  <si>
    <t>Data</t>
  </si>
  <si>
    <t>Item</t>
  </si>
  <si>
    <t>Quantidade</t>
  </si>
  <si>
    <t>Preço unitário</t>
  </si>
  <si>
    <t>Custo total</t>
  </si>
  <si>
    <t>Enforca gato</t>
  </si>
  <si>
    <t>Pacote de gliter</t>
  </si>
  <si>
    <t>Chantilee</t>
  </si>
  <si>
    <t>Copos</t>
  </si>
  <si>
    <t>Café</t>
  </si>
  <si>
    <t>Produtos</t>
  </si>
  <si>
    <t>Custo</t>
  </si>
  <si>
    <t>Estoque</t>
  </si>
  <si>
    <t>Valor de custo</t>
  </si>
  <si>
    <t>Valor de venda</t>
  </si>
  <si>
    <t>Lucro</t>
  </si>
  <si>
    <t>Percentual de lucro</t>
  </si>
  <si>
    <t>Percentual de custo</t>
  </si>
  <si>
    <t>Café - Base</t>
  </si>
  <si>
    <t>Café - Calculado</t>
  </si>
  <si>
    <t>Produto</t>
  </si>
  <si>
    <t>Valor unitário</t>
  </si>
  <si>
    <t>Total</t>
  </si>
  <si>
    <t>Forma de pagamento</t>
  </si>
  <si>
    <t>Vendador</t>
  </si>
  <si>
    <t>Observação</t>
  </si>
  <si>
    <t>Valor total</t>
  </si>
  <si>
    <t>Total de vendas</t>
  </si>
  <si>
    <t>Pix</t>
  </si>
  <si>
    <t>Carlos</t>
  </si>
  <si>
    <t>?</t>
  </si>
  <si>
    <t>Tiago</t>
  </si>
  <si>
    <t>Betânia</t>
  </si>
  <si>
    <t>Dinheiro</t>
  </si>
  <si>
    <t>Chagas</t>
  </si>
  <si>
    <t>Yclis</t>
  </si>
  <si>
    <t>PIX</t>
  </si>
  <si>
    <t>pix</t>
  </si>
  <si>
    <t xml:space="preserve">      Betânia</t>
  </si>
  <si>
    <t>Fisico</t>
  </si>
  <si>
    <t>Físico</t>
  </si>
  <si>
    <t>Betania</t>
  </si>
  <si>
    <t xml:space="preserve">Café </t>
  </si>
  <si>
    <t>Gabriel</t>
  </si>
  <si>
    <t xml:space="preserve">       Chagas</t>
  </si>
  <si>
    <t xml:space="preserve">              </t>
  </si>
  <si>
    <t xml:space="preserve">      Betania</t>
  </si>
  <si>
    <t xml:space="preserve">      Betânia </t>
  </si>
  <si>
    <t xml:space="preserve">Físico </t>
  </si>
  <si>
    <t xml:space="preserve">      Carlos</t>
  </si>
  <si>
    <t>???</t>
  </si>
  <si>
    <t xml:space="preserve">      Carlos </t>
  </si>
  <si>
    <t>duou um cafe para o casi, fica para pegar 4 copos restantes</t>
  </si>
  <si>
    <t xml:space="preserve">       Yclis</t>
  </si>
  <si>
    <t xml:space="preserve">   Guilherme 1</t>
  </si>
  <si>
    <t xml:space="preserve"> Pix</t>
  </si>
  <si>
    <t>Guilherme</t>
  </si>
  <si>
    <t xml:space="preserve"> Físico</t>
  </si>
  <si>
    <t>Luiz</t>
  </si>
  <si>
    <t>betania</t>
  </si>
  <si>
    <t xml:space="preserve">Guilherme </t>
  </si>
  <si>
    <t xml:space="preserve">Betânia </t>
  </si>
  <si>
    <t xml:space="preserve">Pix </t>
  </si>
  <si>
    <t>Falta 4 copos do Rian calouros, ele tem óculos</t>
  </si>
  <si>
    <t>0707/04/2025</t>
  </si>
  <si>
    <t>Guilherme 1</t>
  </si>
  <si>
    <t>Saldo inicial do dia</t>
  </si>
  <si>
    <t>Saldo final do dia</t>
  </si>
  <si>
    <t>Variação do dia</t>
  </si>
  <si>
    <t>Balanço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</si>
  <si>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</si>
  <si>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</si>
  <si>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</si>
  <si>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</si>
  <si>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</si>
  <si>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</si>
  <si>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</si>
  <si>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</si>
  <si>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</si>
  <si>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</si>
  <si>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- Balões - R$ 24,00</t>
  </si>
  <si>
    <t>Custos</t>
  </si>
  <si>
    <t>Lucro esperado</t>
  </si>
  <si>
    <t>Lucro por estudante</t>
  </si>
  <si>
    <t>Estudantes estimados</t>
  </si>
  <si>
    <t>Entrada de caixa esperada</t>
  </si>
  <si>
    <t>Lucro liquido</t>
  </si>
  <si>
    <t>- Farinha de Trigo - R$ 7,49</t>
  </si>
  <si>
    <t>- Enforca Gato - R$ 20,00</t>
  </si>
  <si>
    <t>- Glitter - R$ 6,00</t>
  </si>
  <si>
    <t>- Chantilly - R$ 26,90</t>
  </si>
  <si>
    <t>- Total - R$ 84,39</t>
  </si>
  <si>
    <t>Itens emprestados</t>
  </si>
  <si>
    <t xml:space="preserve"> NOME</t>
  </si>
  <si>
    <t>CURSO</t>
  </si>
  <si>
    <t>Dia</t>
  </si>
  <si>
    <t>Devolvido</t>
  </si>
  <si>
    <t>UNO</t>
  </si>
  <si>
    <t>LUIZ</t>
  </si>
  <si>
    <t>enfermagem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</si>
</sst>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-yyyy"/>
    <numFmt numFmtId="165" formatCode="[$R$ -416]#,##0.00"/>
    <numFmt numFmtId="166" formatCode="dd/MM/yyyy"/>
    <numFmt numFmtId="167" formatCode="d-m"/>
    <numFmt numFmtId="168" formatCode="dd/mm/yyyy"/>
    <numFmt numFmtId="169" formatCode="&quot;R$&quot;#,##0.00"/>
    <numFmt numFmtId="170" formatCode="d-m-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161718"/>
      <name val="Arial"/>
      <scheme val="minor"/>
    </font>
    <font>
      <color rgb="FF434343"/>
      <name val="Roboto"/>
    </font>
    <font>
      <color rgb="FF161718"/>
      <name val="Roboto"/>
    </font>
    <font>
      <color rgb="FF16171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3" numFmtId="166" xfId="0" applyAlignment="1" applyFill="1" applyFont="1" applyNumberFormat="1">
      <alignment horizontal="center" shrinkToFit="0" wrapText="0"/>
    </xf>
    <xf borderId="0" fillId="4" fontId="3" numFmtId="0" xfId="0" applyAlignment="1" applyFont="1">
      <alignment horizontal="center" readingOrder="0" shrinkToFit="0" wrapText="0"/>
    </xf>
    <xf borderId="0" fillId="4" fontId="3" numFmtId="165" xfId="0" applyAlignment="1" applyFont="1" applyNumberFormat="1">
      <alignment horizontal="center" readingOrder="0" shrinkToFit="0" wrapText="0"/>
    </xf>
    <xf borderId="0" fillId="4" fontId="3" numFmtId="165" xfId="0" applyAlignment="1" applyFont="1" applyNumberFormat="1">
      <alignment horizontal="center" shrinkToFit="0" wrapText="0"/>
    </xf>
    <xf borderId="0" fillId="4" fontId="3" numFmtId="0" xfId="0" applyAlignment="1" applyFont="1">
      <alignment horizontal="center" shrinkToFit="0" wrapText="0"/>
    </xf>
    <xf borderId="0" fillId="5" fontId="1" numFmtId="165" xfId="0" applyFill="1" applyFont="1" applyNumberFormat="1"/>
    <xf borderId="0" fillId="5" fontId="1" numFmtId="0" xfId="0" applyFont="1"/>
    <xf borderId="0" fillId="6" fontId="3" numFmtId="166" xfId="0" applyAlignment="1" applyFill="1" applyFont="1" applyNumberFormat="1">
      <alignment horizontal="center" shrinkToFit="0" wrapText="0"/>
    </xf>
    <xf borderId="0" fillId="6" fontId="3" numFmtId="165" xfId="0" applyAlignment="1" applyFont="1" applyNumberFormat="1">
      <alignment horizontal="center" shrinkToFit="0" wrapText="0"/>
    </xf>
    <xf borderId="0" fillId="6" fontId="3" numFmtId="0" xfId="0" applyAlignment="1" applyFont="1">
      <alignment horizontal="center" shrinkToFit="0" wrapText="0"/>
    </xf>
    <xf borderId="0" fillId="4" fontId="3" numFmtId="0" xfId="0" applyAlignment="1" applyFont="1">
      <alignment horizontal="center" readingOrder="0" shrinkToFit="0" wrapText="0"/>
    </xf>
    <xf borderId="0" fillId="6" fontId="3" numFmtId="0" xfId="0" applyAlignment="1" applyFont="1">
      <alignment horizontal="center" readingOrder="0" shrinkToFit="0" wrapText="0"/>
    </xf>
    <xf borderId="0" fillId="6" fontId="3" numFmtId="0" xfId="0" applyAlignment="1" applyFont="1">
      <alignment horizontal="center" readingOrder="0" shrinkToFit="0" wrapText="0"/>
    </xf>
    <xf borderId="0" fillId="6" fontId="3" numFmtId="167" xfId="0" applyAlignment="1" applyFont="1" applyNumberFormat="1">
      <alignment horizontal="center" shrinkToFit="0" wrapText="0"/>
    </xf>
    <xf borderId="0" fillId="4" fontId="4" numFmtId="0" xfId="0" applyAlignment="1" applyFont="1">
      <alignment horizontal="center" readingOrder="0" shrinkToFit="0" wrapText="0"/>
    </xf>
    <xf borderId="0" fillId="6" fontId="4" numFmtId="165" xfId="0" applyAlignment="1" applyFont="1" applyNumberFormat="1">
      <alignment horizontal="center" readingOrder="0" shrinkToFit="0" wrapText="0"/>
    </xf>
    <xf borderId="0" fillId="6" fontId="4" numFmtId="0" xfId="0" applyAlignment="1" applyFont="1">
      <alignment horizontal="center" readingOrder="0" shrinkToFit="0" wrapText="0"/>
    </xf>
    <xf borderId="0" fillId="6" fontId="4" numFmtId="0" xfId="0" applyAlignment="1" applyFont="1">
      <alignment horizontal="center" readingOrder="0" shrinkToFit="0" wrapText="0"/>
    </xf>
    <xf borderId="0" fillId="0" fontId="1" numFmtId="168" xfId="0" applyAlignment="1" applyFont="1" applyNumberFormat="1">
      <alignment horizontal="center" readingOrder="0"/>
    </xf>
    <xf borderId="0" fillId="4" fontId="5" numFmtId="165" xfId="0" applyAlignment="1" applyFont="1" applyNumberFormat="1">
      <alignment horizontal="center" readingOrder="0" shrinkToFit="0" wrapText="0"/>
    </xf>
    <xf borderId="0" fillId="0" fontId="1" numFmtId="169" xfId="0" applyAlignment="1" applyFont="1" applyNumberFormat="1">
      <alignment horizontal="center" readingOrder="0"/>
    </xf>
    <xf borderId="0" fillId="4" fontId="3" numFmtId="169" xfId="0" applyAlignment="1" applyFont="1" applyNumberFormat="1">
      <alignment horizontal="center" readingOrder="0" shrinkToFit="0" wrapText="0"/>
    </xf>
    <xf borderId="0" fillId="0" fontId="1" numFmtId="14" xfId="0" applyAlignment="1" applyFont="1" applyNumberFormat="1">
      <alignment horizontal="center" readingOrder="0"/>
    </xf>
    <xf borderId="0" fillId="4" fontId="3" numFmtId="168" xfId="0" applyAlignment="1" applyFont="1" applyNumberFormat="1">
      <alignment horizontal="center" readingOrder="0" shrinkToFit="0" wrapText="0"/>
    </xf>
    <xf borderId="0" fillId="0" fontId="2" numFmtId="168" xfId="0" applyAlignment="1" applyFont="1" applyNumberFormat="1">
      <alignment horizontal="center"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horizontal="center"/>
    </xf>
    <xf borderId="0" fillId="0" fontId="1" numFmtId="17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1" numFmtId="10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Março-style">
      <tableStyleElement dxfId="1" type="firstRowStripe"/>
      <tableStyleElement dxfId="2" type="secondRowStripe"/>
    </tableStyle>
    <tableStyle count="2" pivot="0" name="Abri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H14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rço-style" showColumnStripes="0" showFirstColumn="1" showLastColumn="1" showRowStripes="1"/>
</table>
</file>

<file path=xl/tables/table2.xml><?xml version="1.0" encoding="utf-8"?>
<table xmlns="http://schemas.openxmlformats.org/spreadsheetml/2006/main" headerRowCount="0" ref="A2:H14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br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45741.0</v>
      </c>
      <c r="B2" s="1" t="s">
        <v>5</v>
      </c>
      <c r="C2" s="1">
        <v>100.0</v>
      </c>
      <c r="D2" s="4">
        <f>20/100</f>
        <v>0.2</v>
      </c>
      <c r="E2" s="4">
        <f t="shared" ref="E2:E4" si="1">C2*D2</f>
        <v>20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>
        <v>45741.0</v>
      </c>
      <c r="B3" s="1" t="s">
        <v>6</v>
      </c>
      <c r="C3" s="1">
        <v>4.0</v>
      </c>
      <c r="D3" s="5">
        <v>1.5</v>
      </c>
      <c r="E3" s="4">
        <f t="shared" si="1"/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>
        <v>45741.0</v>
      </c>
      <c r="B4" s="7" t="s">
        <v>7</v>
      </c>
      <c r="C4" s="7">
        <v>1.0</v>
      </c>
      <c r="D4" s="8">
        <v>26.9</v>
      </c>
      <c r="E4" s="4">
        <f t="shared" si="1"/>
        <v>26.9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>
        <v>45747.0</v>
      </c>
      <c r="B5" s="7" t="s">
        <v>8</v>
      </c>
      <c r="C5" s="7">
        <v>100.0</v>
      </c>
      <c r="D5" s="4">
        <f>E5/C5</f>
        <v>0.055</v>
      </c>
      <c r="E5" s="8">
        <v>5.5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>
        <v>45749.0</v>
      </c>
      <c r="B6" s="7" t="s">
        <v>9</v>
      </c>
      <c r="C6" s="7">
        <v>1.0</v>
      </c>
      <c r="D6" s="8">
        <v>16.0</v>
      </c>
      <c r="E6" s="4">
        <f>C6*D6</f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>
        <v>45754.0</v>
      </c>
      <c r="B7" s="7" t="s">
        <v>8</v>
      </c>
      <c r="C7" s="1">
        <v>100.0</v>
      </c>
      <c r="D7" s="4">
        <f>E7/C7</f>
        <v>0.055</v>
      </c>
      <c r="E7" s="8">
        <v>5.5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7.75"/>
    <col customWidth="1" min="3" max="3" width="7.13"/>
    <col customWidth="1" min="4" max="4" width="11.5"/>
    <col customWidth="1" min="5" max="5" width="12.13"/>
    <col customWidth="1" min="6" max="6" width="7.75"/>
    <col customWidth="1" min="7" max="7" width="15.38"/>
    <col customWidth="1" min="8" max="8" width="15.75"/>
  </cols>
  <sheetData>
    <row r="1">
      <c r="A1" s="1" t="s">
        <v>10</v>
      </c>
      <c r="B1" s="1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>
      <c r="A2" s="1" t="s">
        <v>18</v>
      </c>
      <c r="B2" s="5">
        <v>30.0</v>
      </c>
      <c r="C2" s="9">
        <v>50.0</v>
      </c>
      <c r="D2" s="10">
        <f t="shared" ref="D2:D3" si="1">DIVIDE(B2,C2)</f>
        <v>0.6</v>
      </c>
      <c r="E2" s="11">
        <v>1.0</v>
      </c>
      <c r="F2" s="10">
        <f t="shared" ref="F2:F3" si="2">E2-D2</f>
        <v>0.4</v>
      </c>
      <c r="G2" s="12">
        <f>F2/E2</f>
        <v>0.4</v>
      </c>
      <c r="H2" s="12">
        <f>D2/E2</f>
        <v>0.6</v>
      </c>
    </row>
    <row r="3">
      <c r="A3" s="13" t="s">
        <v>19</v>
      </c>
      <c r="B3" s="10">
        <f>5.5+4*12-3.5</f>
        <v>50</v>
      </c>
      <c r="C3" s="13">
        <v>100.0</v>
      </c>
      <c r="D3" s="10">
        <f t="shared" si="1"/>
        <v>0.5</v>
      </c>
      <c r="E3" s="11">
        <v>1.0</v>
      </c>
      <c r="F3" s="10">
        <f t="shared" si="2"/>
        <v>0.5</v>
      </c>
      <c r="G3" s="12"/>
      <c r="H3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6" max="6" width="16.88"/>
    <col customWidth="1" min="8" max="8" width="27.5"/>
    <col customWidth="1" min="10" max="10" width="8.38"/>
    <col customWidth="1" min="11" max="11" width="12.63"/>
  </cols>
  <sheetData>
    <row r="1">
      <c r="A1" s="14" t="s">
        <v>0</v>
      </c>
      <c r="B1" s="14" t="s">
        <v>20</v>
      </c>
      <c r="C1" s="14" t="s">
        <v>21</v>
      </c>
      <c r="D1" s="14" t="s">
        <v>2</v>
      </c>
      <c r="E1" s="14" t="s">
        <v>22</v>
      </c>
      <c r="F1" s="14" t="s">
        <v>23</v>
      </c>
      <c r="G1" s="14" t="s">
        <v>24</v>
      </c>
      <c r="H1" s="14" t="s">
        <v>25</v>
      </c>
      <c r="J1" s="15" t="s">
        <v>26</v>
      </c>
      <c r="K1" s="15" t="s">
        <v>27</v>
      </c>
    </row>
    <row r="2">
      <c r="A2" s="16">
        <v>45737.0</v>
      </c>
      <c r="B2" s="17" t="s">
        <v>9</v>
      </c>
      <c r="C2" s="18">
        <v>1.0</v>
      </c>
      <c r="D2" s="17">
        <v>1.0</v>
      </c>
      <c r="E2" s="18">
        <f t="shared" ref="E2:E22" si="1">C2*D2</f>
        <v>1</v>
      </c>
      <c r="F2" s="19" t="s">
        <v>28</v>
      </c>
      <c r="G2" s="20" t="s">
        <v>29</v>
      </c>
      <c r="H2" s="20"/>
      <c r="J2" s="21">
        <f>SUM(E:E)</f>
        <v>76.7</v>
      </c>
      <c r="K2" s="22">
        <f>SUM(D:D)</f>
        <v>77</v>
      </c>
    </row>
    <row r="3">
      <c r="A3" s="23">
        <v>45737.0</v>
      </c>
      <c r="B3" s="17" t="s">
        <v>9</v>
      </c>
      <c r="C3" s="18">
        <v>1.0</v>
      </c>
      <c r="D3" s="17">
        <v>1.0</v>
      </c>
      <c r="E3" s="18">
        <f t="shared" si="1"/>
        <v>1</v>
      </c>
      <c r="F3" s="24" t="s">
        <v>28</v>
      </c>
      <c r="G3" s="25" t="s">
        <v>29</v>
      </c>
      <c r="H3" s="25"/>
    </row>
    <row r="4">
      <c r="A4" s="16">
        <v>45740.0</v>
      </c>
      <c r="B4" s="17" t="s">
        <v>9</v>
      </c>
      <c r="C4" s="18">
        <v>1.0</v>
      </c>
      <c r="D4" s="17">
        <v>1.0</v>
      </c>
      <c r="E4" s="18">
        <f t="shared" si="1"/>
        <v>1</v>
      </c>
      <c r="F4" s="19" t="s">
        <v>30</v>
      </c>
      <c r="G4" s="17" t="s">
        <v>31</v>
      </c>
      <c r="H4" s="26"/>
    </row>
    <row r="5">
      <c r="A5" s="23">
        <v>45740.0</v>
      </c>
      <c r="B5" s="17" t="s">
        <v>9</v>
      </c>
      <c r="C5" s="18">
        <v>1.0</v>
      </c>
      <c r="D5" s="17">
        <v>1.0</v>
      </c>
      <c r="E5" s="18">
        <f t="shared" si="1"/>
        <v>1</v>
      </c>
      <c r="F5" s="24" t="s">
        <v>30</v>
      </c>
      <c r="G5" s="27" t="s">
        <v>31</v>
      </c>
      <c r="H5" s="28"/>
    </row>
    <row r="6">
      <c r="A6" s="16">
        <v>45740.0</v>
      </c>
      <c r="B6" s="17" t="s">
        <v>9</v>
      </c>
      <c r="C6" s="18">
        <v>1.0</v>
      </c>
      <c r="D6" s="17">
        <v>1.0</v>
      </c>
      <c r="E6" s="18">
        <f t="shared" si="1"/>
        <v>1</v>
      </c>
      <c r="F6" s="19" t="s">
        <v>30</v>
      </c>
      <c r="G6" s="17" t="s">
        <v>31</v>
      </c>
      <c r="H6" s="26"/>
    </row>
    <row r="7">
      <c r="A7" s="23">
        <v>45740.0</v>
      </c>
      <c r="B7" s="17" t="s">
        <v>9</v>
      </c>
      <c r="C7" s="18">
        <v>1.0</v>
      </c>
      <c r="D7" s="17">
        <v>1.0</v>
      </c>
      <c r="E7" s="18">
        <f t="shared" si="1"/>
        <v>1</v>
      </c>
      <c r="F7" s="24" t="s">
        <v>28</v>
      </c>
      <c r="G7" s="25" t="s">
        <v>32</v>
      </c>
      <c r="H7" s="25"/>
    </row>
    <row r="8">
      <c r="A8" s="16">
        <v>45740.0</v>
      </c>
      <c r="B8" s="17" t="s">
        <v>9</v>
      </c>
      <c r="C8" s="18">
        <v>1.0</v>
      </c>
      <c r="D8" s="17">
        <v>1.0</v>
      </c>
      <c r="E8" s="18">
        <f t="shared" si="1"/>
        <v>1</v>
      </c>
      <c r="F8" s="19" t="s">
        <v>33</v>
      </c>
      <c r="G8" s="20" t="s">
        <v>32</v>
      </c>
      <c r="H8" s="20"/>
    </row>
    <row r="9">
      <c r="A9" s="23">
        <v>45740.0</v>
      </c>
      <c r="B9" s="17" t="s">
        <v>9</v>
      </c>
      <c r="C9" s="18">
        <v>1.0</v>
      </c>
      <c r="D9" s="17">
        <v>1.0</v>
      </c>
      <c r="E9" s="18">
        <f t="shared" si="1"/>
        <v>1</v>
      </c>
      <c r="F9" s="29" t="s">
        <v>28</v>
      </c>
      <c r="G9" s="25" t="s">
        <v>32</v>
      </c>
      <c r="H9" s="25"/>
    </row>
    <row r="10">
      <c r="A10" s="16">
        <v>45741.0</v>
      </c>
      <c r="B10" s="17" t="s">
        <v>9</v>
      </c>
      <c r="C10" s="18">
        <v>1.0</v>
      </c>
      <c r="D10" s="17">
        <v>1.0</v>
      </c>
      <c r="E10" s="18">
        <f t="shared" si="1"/>
        <v>1</v>
      </c>
      <c r="F10" s="19" t="s">
        <v>28</v>
      </c>
      <c r="G10" s="20" t="s">
        <v>34</v>
      </c>
      <c r="H10" s="20"/>
    </row>
    <row r="11">
      <c r="A11" s="23">
        <v>45741.0</v>
      </c>
      <c r="B11" s="17" t="s">
        <v>9</v>
      </c>
      <c r="C11" s="18">
        <v>1.0</v>
      </c>
      <c r="D11" s="17">
        <v>1.0</v>
      </c>
      <c r="E11" s="18">
        <f t="shared" si="1"/>
        <v>1</v>
      </c>
      <c r="F11" s="24" t="s">
        <v>28</v>
      </c>
      <c r="G11" s="25" t="s">
        <v>35</v>
      </c>
      <c r="H11" s="25"/>
    </row>
    <row r="12">
      <c r="A12" s="16">
        <v>45741.0</v>
      </c>
      <c r="B12" s="17" t="s">
        <v>9</v>
      </c>
      <c r="C12" s="18">
        <v>1.0</v>
      </c>
      <c r="D12" s="17">
        <v>1.0</v>
      </c>
      <c r="E12" s="18">
        <f t="shared" si="1"/>
        <v>1</v>
      </c>
      <c r="F12" s="19" t="s">
        <v>28</v>
      </c>
      <c r="G12" s="20" t="s">
        <v>35</v>
      </c>
      <c r="H12" s="20"/>
    </row>
    <row r="13">
      <c r="A13" s="23">
        <v>45741.0</v>
      </c>
      <c r="B13" s="17" t="s">
        <v>9</v>
      </c>
      <c r="C13" s="18">
        <v>1.0</v>
      </c>
      <c r="D13" s="17">
        <v>1.0</v>
      </c>
      <c r="E13" s="18">
        <f t="shared" si="1"/>
        <v>1</v>
      </c>
      <c r="F13" s="24" t="s">
        <v>28</v>
      </c>
      <c r="G13" s="25" t="s">
        <v>35</v>
      </c>
      <c r="H13" s="25"/>
    </row>
    <row r="14">
      <c r="A14" s="23">
        <v>45741.0</v>
      </c>
      <c r="B14" s="17" t="s">
        <v>9</v>
      </c>
      <c r="C14" s="18">
        <v>1.0</v>
      </c>
      <c r="D14" s="30">
        <v>2.0</v>
      </c>
      <c r="E14" s="18">
        <f t="shared" si="1"/>
        <v>2</v>
      </c>
      <c r="F14" s="31" t="s">
        <v>36</v>
      </c>
      <c r="G14" s="32" t="s">
        <v>32</v>
      </c>
      <c r="H14" s="33"/>
    </row>
    <row r="15">
      <c r="A15" s="34">
        <v>45741.0</v>
      </c>
      <c r="B15" s="17" t="s">
        <v>9</v>
      </c>
      <c r="C15" s="35">
        <v>1.0</v>
      </c>
      <c r="D15" s="30">
        <v>1.0</v>
      </c>
      <c r="E15" s="18">
        <f t="shared" si="1"/>
        <v>1</v>
      </c>
      <c r="F15" s="31" t="s">
        <v>36</v>
      </c>
      <c r="G15" s="32" t="s">
        <v>32</v>
      </c>
      <c r="H15" s="2"/>
    </row>
    <row r="16">
      <c r="A16" s="34">
        <v>45741.0</v>
      </c>
      <c r="B16" s="17" t="s">
        <v>9</v>
      </c>
      <c r="C16" s="35">
        <v>1.0</v>
      </c>
      <c r="D16" s="30">
        <v>1.0</v>
      </c>
      <c r="E16" s="18">
        <f t="shared" si="1"/>
        <v>1</v>
      </c>
      <c r="F16" s="1" t="s">
        <v>37</v>
      </c>
      <c r="G16" s="1" t="s">
        <v>38</v>
      </c>
      <c r="H16" s="2"/>
    </row>
    <row r="17">
      <c r="A17" s="34">
        <v>45742.0</v>
      </c>
      <c r="B17" s="17" t="s">
        <v>9</v>
      </c>
      <c r="C17" s="5">
        <v>1.0</v>
      </c>
      <c r="D17" s="1">
        <v>1.0</v>
      </c>
      <c r="E17" s="18">
        <f t="shared" si="1"/>
        <v>1</v>
      </c>
      <c r="F17" s="1" t="s">
        <v>39</v>
      </c>
      <c r="G17" s="1" t="s">
        <v>34</v>
      </c>
      <c r="H17" s="2"/>
    </row>
    <row r="18">
      <c r="A18" s="34">
        <v>45742.0</v>
      </c>
      <c r="B18" s="17" t="s">
        <v>9</v>
      </c>
      <c r="C18" s="5">
        <v>1.0</v>
      </c>
      <c r="D18" s="1">
        <v>1.0</v>
      </c>
      <c r="E18" s="18">
        <f t="shared" si="1"/>
        <v>1</v>
      </c>
      <c r="F18" s="1" t="s">
        <v>39</v>
      </c>
      <c r="G18" s="1" t="s">
        <v>34</v>
      </c>
      <c r="H18" s="2"/>
    </row>
    <row r="19">
      <c r="A19" s="34">
        <v>45742.0</v>
      </c>
      <c r="B19" s="17" t="s">
        <v>9</v>
      </c>
      <c r="C19" s="5">
        <v>1.0</v>
      </c>
      <c r="D19" s="1">
        <v>1.0</v>
      </c>
      <c r="E19" s="18">
        <f t="shared" si="1"/>
        <v>1</v>
      </c>
      <c r="F19" s="1" t="s">
        <v>36</v>
      </c>
      <c r="G19" s="1" t="s">
        <v>32</v>
      </c>
      <c r="H19" s="2"/>
    </row>
    <row r="20">
      <c r="A20" s="34">
        <v>45742.0</v>
      </c>
      <c r="B20" s="17" t="s">
        <v>9</v>
      </c>
      <c r="C20" s="5">
        <v>1.0</v>
      </c>
      <c r="D20" s="1">
        <v>1.0</v>
      </c>
      <c r="E20" s="18">
        <f t="shared" si="1"/>
        <v>1</v>
      </c>
      <c r="F20" s="1" t="s">
        <v>39</v>
      </c>
      <c r="G20" s="1" t="s">
        <v>32</v>
      </c>
      <c r="H20" s="2"/>
    </row>
    <row r="21">
      <c r="A21" s="34">
        <v>45742.0</v>
      </c>
      <c r="B21" s="1" t="s">
        <v>9</v>
      </c>
      <c r="C21" s="5">
        <v>1.0</v>
      </c>
      <c r="D21" s="1">
        <v>1.0</v>
      </c>
      <c r="E21" s="18">
        <f t="shared" si="1"/>
        <v>1</v>
      </c>
      <c r="F21" s="1" t="s">
        <v>39</v>
      </c>
      <c r="G21" s="1" t="s">
        <v>34</v>
      </c>
      <c r="H21" s="2"/>
    </row>
    <row r="22">
      <c r="A22" s="34">
        <v>45742.0</v>
      </c>
      <c r="B22" s="1" t="s">
        <v>9</v>
      </c>
      <c r="C22" s="5">
        <v>1.0</v>
      </c>
      <c r="D22" s="1">
        <v>1.0</v>
      </c>
      <c r="E22" s="18">
        <f t="shared" si="1"/>
        <v>1</v>
      </c>
      <c r="F22" s="1" t="s">
        <v>39</v>
      </c>
      <c r="G22" s="1" t="s">
        <v>34</v>
      </c>
      <c r="H22" s="2"/>
    </row>
    <row r="23">
      <c r="A23" s="34">
        <v>45742.0</v>
      </c>
      <c r="B23" s="1" t="s">
        <v>9</v>
      </c>
      <c r="C23" s="5">
        <v>1.0</v>
      </c>
      <c r="D23" s="1">
        <v>1.0</v>
      </c>
      <c r="E23" s="18">
        <f>C23*D32</f>
        <v>1</v>
      </c>
      <c r="F23" s="1" t="s">
        <v>39</v>
      </c>
      <c r="G23" s="1" t="s">
        <v>34</v>
      </c>
      <c r="H23" s="2"/>
    </row>
    <row r="24">
      <c r="A24" s="34">
        <v>45742.0</v>
      </c>
      <c r="B24" s="1" t="s">
        <v>9</v>
      </c>
      <c r="C24" s="5">
        <v>1.0</v>
      </c>
      <c r="D24" s="1">
        <v>1.0</v>
      </c>
      <c r="E24" s="18">
        <f t="shared" ref="E24:E38" si="2">C24*D24</f>
        <v>1</v>
      </c>
      <c r="F24" s="1" t="s">
        <v>39</v>
      </c>
      <c r="G24" s="1" t="s">
        <v>34</v>
      </c>
      <c r="H24" s="2"/>
    </row>
    <row r="25">
      <c r="A25" s="34">
        <v>45742.0</v>
      </c>
      <c r="B25" s="1" t="s">
        <v>9</v>
      </c>
      <c r="C25" s="5">
        <v>1.0</v>
      </c>
      <c r="D25" s="1">
        <v>1.0</v>
      </c>
      <c r="E25" s="18">
        <f t="shared" si="2"/>
        <v>1</v>
      </c>
      <c r="F25" s="1" t="s">
        <v>36</v>
      </c>
      <c r="G25" s="1" t="s">
        <v>34</v>
      </c>
      <c r="H25" s="2"/>
    </row>
    <row r="26">
      <c r="A26" s="34">
        <v>45742.0</v>
      </c>
      <c r="B26" s="1" t="s">
        <v>9</v>
      </c>
      <c r="C26" s="36">
        <v>1.0</v>
      </c>
      <c r="D26" s="1">
        <v>1.0</v>
      </c>
      <c r="E26" s="37">
        <f t="shared" si="2"/>
        <v>1</v>
      </c>
      <c r="F26" s="1" t="s">
        <v>36</v>
      </c>
      <c r="G26" s="1" t="s">
        <v>34</v>
      </c>
      <c r="H26" s="2"/>
    </row>
    <row r="27">
      <c r="A27" s="34">
        <v>45742.0</v>
      </c>
      <c r="B27" s="1" t="s">
        <v>9</v>
      </c>
      <c r="C27" s="36">
        <v>1.0</v>
      </c>
      <c r="D27" s="1">
        <v>3.0</v>
      </c>
      <c r="E27" s="37">
        <f t="shared" si="2"/>
        <v>3</v>
      </c>
      <c r="F27" s="1" t="s">
        <v>36</v>
      </c>
      <c r="G27" s="1" t="s">
        <v>34</v>
      </c>
      <c r="H27" s="2"/>
    </row>
    <row r="28">
      <c r="A28" s="34">
        <v>45742.0</v>
      </c>
      <c r="B28" s="1" t="s">
        <v>9</v>
      </c>
      <c r="C28" s="36">
        <v>1.0</v>
      </c>
      <c r="D28" s="1">
        <v>2.0</v>
      </c>
      <c r="E28" s="37">
        <f t="shared" si="2"/>
        <v>2</v>
      </c>
      <c r="F28" s="1" t="s">
        <v>36</v>
      </c>
      <c r="G28" s="1" t="s">
        <v>34</v>
      </c>
      <c r="H28" s="2"/>
    </row>
    <row r="29">
      <c r="A29" s="34">
        <v>45742.0</v>
      </c>
      <c r="B29" s="1" t="s">
        <v>9</v>
      </c>
      <c r="C29" s="36">
        <v>1.0</v>
      </c>
      <c r="D29" s="1">
        <v>1.0</v>
      </c>
      <c r="E29" s="37">
        <f t="shared" si="2"/>
        <v>1</v>
      </c>
      <c r="F29" s="1" t="s">
        <v>36</v>
      </c>
      <c r="G29" s="1" t="s">
        <v>34</v>
      </c>
      <c r="H29" s="2"/>
    </row>
    <row r="30">
      <c r="A30" s="34">
        <v>45742.0</v>
      </c>
      <c r="B30" s="1" t="s">
        <v>9</v>
      </c>
      <c r="C30" s="36">
        <v>1.0</v>
      </c>
      <c r="D30" s="1">
        <v>1.0</v>
      </c>
      <c r="E30" s="37">
        <f t="shared" si="2"/>
        <v>1</v>
      </c>
      <c r="F30" s="1" t="s">
        <v>36</v>
      </c>
      <c r="G30" s="1" t="s">
        <v>34</v>
      </c>
      <c r="H30" s="2"/>
    </row>
    <row r="31">
      <c r="A31" s="34">
        <v>45742.0</v>
      </c>
      <c r="B31" s="1" t="s">
        <v>9</v>
      </c>
      <c r="C31" s="36">
        <v>1.0</v>
      </c>
      <c r="D31" s="1">
        <v>1.0</v>
      </c>
      <c r="E31" s="37">
        <f t="shared" si="2"/>
        <v>1</v>
      </c>
      <c r="F31" s="1" t="s">
        <v>36</v>
      </c>
      <c r="G31" s="1" t="s">
        <v>34</v>
      </c>
      <c r="H31" s="2"/>
    </row>
    <row r="32">
      <c r="A32" s="34">
        <v>45742.0</v>
      </c>
      <c r="B32" s="1" t="s">
        <v>9</v>
      </c>
      <c r="C32" s="36">
        <v>1.0</v>
      </c>
      <c r="D32" s="1">
        <v>1.0</v>
      </c>
      <c r="E32" s="37">
        <f t="shared" si="2"/>
        <v>1</v>
      </c>
      <c r="F32" s="1" t="s">
        <v>40</v>
      </c>
      <c r="G32" s="1" t="s">
        <v>34</v>
      </c>
      <c r="H32" s="2"/>
    </row>
    <row r="33">
      <c r="A33" s="34">
        <v>45742.0</v>
      </c>
      <c r="B33" s="1" t="s">
        <v>9</v>
      </c>
      <c r="C33" s="36">
        <v>1.0</v>
      </c>
      <c r="D33" s="1">
        <v>1.0</v>
      </c>
      <c r="E33" s="37">
        <f t="shared" si="2"/>
        <v>1</v>
      </c>
      <c r="F33" s="1" t="s">
        <v>36</v>
      </c>
      <c r="G33" s="1" t="s">
        <v>34</v>
      </c>
      <c r="H33" s="2"/>
    </row>
    <row r="34">
      <c r="A34" s="34">
        <v>45742.0</v>
      </c>
      <c r="B34" s="1" t="s">
        <v>9</v>
      </c>
      <c r="C34" s="36">
        <v>1.0</v>
      </c>
      <c r="D34" s="1">
        <v>2.0</v>
      </c>
      <c r="E34" s="37">
        <f t="shared" si="2"/>
        <v>2</v>
      </c>
      <c r="F34" s="1" t="s">
        <v>40</v>
      </c>
      <c r="G34" s="1" t="s">
        <v>31</v>
      </c>
      <c r="H34" s="2"/>
    </row>
    <row r="35">
      <c r="A35" s="34">
        <v>45742.0</v>
      </c>
      <c r="B35" s="1" t="s">
        <v>9</v>
      </c>
      <c r="C35" s="36">
        <v>1.0</v>
      </c>
      <c r="D35" s="1">
        <v>1.0</v>
      </c>
      <c r="E35" s="37">
        <f t="shared" si="2"/>
        <v>1</v>
      </c>
      <c r="F35" s="1" t="s">
        <v>36</v>
      </c>
      <c r="G35" s="1" t="s">
        <v>41</v>
      </c>
      <c r="H35" s="2"/>
    </row>
    <row r="36">
      <c r="A36" s="34">
        <v>45742.0</v>
      </c>
      <c r="B36" s="1" t="s">
        <v>42</v>
      </c>
      <c r="C36" s="36">
        <v>1.0</v>
      </c>
      <c r="D36" s="1">
        <v>1.0</v>
      </c>
      <c r="E36" s="37">
        <f t="shared" si="2"/>
        <v>1</v>
      </c>
      <c r="F36" s="1" t="s">
        <v>28</v>
      </c>
      <c r="G36" s="1" t="s">
        <v>35</v>
      </c>
      <c r="H36" s="2"/>
    </row>
    <row r="37">
      <c r="A37" s="34">
        <v>45742.0</v>
      </c>
      <c r="B37" s="1" t="s">
        <v>42</v>
      </c>
      <c r="C37" s="36">
        <v>1.0</v>
      </c>
      <c r="D37" s="1">
        <v>1.0</v>
      </c>
      <c r="E37" s="37">
        <f t="shared" si="2"/>
        <v>1</v>
      </c>
      <c r="F37" s="1" t="s">
        <v>28</v>
      </c>
      <c r="G37" s="1" t="s">
        <v>43</v>
      </c>
      <c r="H37" s="2"/>
    </row>
    <row r="38">
      <c r="A38" s="34">
        <v>45742.0</v>
      </c>
      <c r="B38" s="1" t="s">
        <v>42</v>
      </c>
      <c r="C38" s="36">
        <v>1.0</v>
      </c>
      <c r="D38" s="1">
        <v>1.0</v>
      </c>
      <c r="E38" s="37">
        <f t="shared" si="2"/>
        <v>1</v>
      </c>
      <c r="F38" s="1" t="s">
        <v>28</v>
      </c>
      <c r="G38" s="1" t="s">
        <v>41</v>
      </c>
      <c r="H38" s="2"/>
    </row>
    <row r="39">
      <c r="A39" s="38">
        <v>45743.0</v>
      </c>
      <c r="B39" s="1" t="s">
        <v>42</v>
      </c>
      <c r="C39" s="36">
        <v>1.0</v>
      </c>
      <c r="D39" s="1">
        <v>2.0</v>
      </c>
      <c r="E39" s="37">
        <v>2.0</v>
      </c>
      <c r="F39" s="1" t="s">
        <v>28</v>
      </c>
      <c r="G39" s="1" t="s">
        <v>44</v>
      </c>
      <c r="H39" s="2"/>
      <c r="I39" s="17"/>
      <c r="J39" s="9" t="s">
        <v>45</v>
      </c>
      <c r="K39" s="9"/>
    </row>
    <row r="40">
      <c r="A40" s="39">
        <v>45743.0</v>
      </c>
      <c r="B40" s="1" t="s">
        <v>42</v>
      </c>
      <c r="C40" s="36">
        <v>1.0</v>
      </c>
      <c r="D40" s="1">
        <v>1.0</v>
      </c>
      <c r="E40" s="37">
        <v>1.0</v>
      </c>
      <c r="F40" s="1" t="s">
        <v>28</v>
      </c>
      <c r="G40" s="1" t="s">
        <v>44</v>
      </c>
      <c r="H40" s="2"/>
    </row>
    <row r="41">
      <c r="A41" s="39">
        <v>45743.0</v>
      </c>
      <c r="B41" s="1" t="s">
        <v>42</v>
      </c>
      <c r="C41" s="36">
        <v>1.0</v>
      </c>
      <c r="D41" s="1">
        <v>1.0</v>
      </c>
      <c r="E41" s="37">
        <v>1.0</v>
      </c>
      <c r="F41" s="1" t="s">
        <v>40</v>
      </c>
      <c r="G41" s="1" t="s">
        <v>46</v>
      </c>
      <c r="H41" s="2"/>
    </row>
    <row r="42">
      <c r="A42" s="39">
        <v>45744.0</v>
      </c>
      <c r="B42" s="1" t="s">
        <v>42</v>
      </c>
      <c r="C42" s="36">
        <v>1.0</v>
      </c>
      <c r="D42" s="1">
        <v>1.0</v>
      </c>
      <c r="E42" s="37">
        <v>1.0</v>
      </c>
      <c r="F42" s="1" t="s">
        <v>40</v>
      </c>
      <c r="G42" s="1" t="s">
        <v>46</v>
      </c>
      <c r="H42" s="2"/>
    </row>
    <row r="43">
      <c r="A43" s="39">
        <v>45744.0</v>
      </c>
      <c r="B43" s="1" t="s">
        <v>42</v>
      </c>
      <c r="C43" s="36">
        <v>1.0</v>
      </c>
      <c r="D43" s="1">
        <v>1.0</v>
      </c>
      <c r="E43" s="37">
        <f t="shared" ref="E43:E62" si="3">C43*D43</f>
        <v>1</v>
      </c>
      <c r="F43" s="1" t="s">
        <v>40</v>
      </c>
      <c r="G43" s="1" t="s">
        <v>46</v>
      </c>
      <c r="H43" s="2"/>
    </row>
    <row r="44">
      <c r="A44" s="39">
        <v>45744.0</v>
      </c>
      <c r="B44" s="1" t="s">
        <v>42</v>
      </c>
      <c r="C44" s="36">
        <v>1.0</v>
      </c>
      <c r="D44" s="1">
        <v>1.0</v>
      </c>
      <c r="E44" s="37">
        <f t="shared" si="3"/>
        <v>1</v>
      </c>
      <c r="F44" s="1" t="s">
        <v>40</v>
      </c>
      <c r="G44" s="1" t="s">
        <v>46</v>
      </c>
      <c r="H44" s="2"/>
    </row>
    <row r="45">
      <c r="A45" s="39">
        <v>45744.0</v>
      </c>
      <c r="B45" s="1" t="s">
        <v>42</v>
      </c>
      <c r="C45" s="36">
        <v>1.0</v>
      </c>
      <c r="D45" s="1">
        <v>2.0</v>
      </c>
      <c r="E45" s="37">
        <f t="shared" si="3"/>
        <v>2</v>
      </c>
      <c r="F45" s="1" t="s">
        <v>40</v>
      </c>
      <c r="G45" s="1" t="s">
        <v>46</v>
      </c>
      <c r="H45" s="2"/>
    </row>
    <row r="46">
      <c r="A46" s="39">
        <v>45744.0</v>
      </c>
      <c r="B46" s="1" t="s">
        <v>42</v>
      </c>
      <c r="C46" s="36">
        <v>1.0</v>
      </c>
      <c r="D46" s="1">
        <v>2.0</v>
      </c>
      <c r="E46" s="37">
        <f t="shared" si="3"/>
        <v>2</v>
      </c>
      <c r="F46" s="1" t="s">
        <v>28</v>
      </c>
      <c r="G46" s="1" t="s">
        <v>46</v>
      </c>
      <c r="H46" s="2"/>
    </row>
    <row r="47">
      <c r="A47" s="34">
        <v>45747.0</v>
      </c>
      <c r="B47" s="1" t="s">
        <v>42</v>
      </c>
      <c r="C47" s="36">
        <v>1.0</v>
      </c>
      <c r="D47" s="1">
        <v>1.0</v>
      </c>
      <c r="E47" s="37">
        <f t="shared" si="3"/>
        <v>1</v>
      </c>
      <c r="F47" s="1" t="s">
        <v>28</v>
      </c>
      <c r="G47" s="1" t="s">
        <v>47</v>
      </c>
      <c r="H47" s="2"/>
    </row>
    <row r="48">
      <c r="A48" s="34">
        <v>45747.0</v>
      </c>
      <c r="B48" s="1" t="s">
        <v>42</v>
      </c>
      <c r="C48" s="36">
        <v>1.0</v>
      </c>
      <c r="D48" s="1">
        <v>1.0</v>
      </c>
      <c r="E48" s="37">
        <f t="shared" si="3"/>
        <v>1</v>
      </c>
      <c r="F48" s="1" t="s">
        <v>48</v>
      </c>
      <c r="G48" s="1" t="s">
        <v>49</v>
      </c>
      <c r="H48" s="2"/>
    </row>
    <row r="49">
      <c r="A49" s="34">
        <v>45747.0</v>
      </c>
      <c r="B49" s="1" t="s">
        <v>42</v>
      </c>
      <c r="C49" s="36">
        <v>1.0</v>
      </c>
      <c r="D49" s="1">
        <v>1.0</v>
      </c>
      <c r="E49" s="37">
        <f t="shared" si="3"/>
        <v>1</v>
      </c>
      <c r="F49" s="1" t="s">
        <v>50</v>
      </c>
      <c r="G49" s="1" t="s">
        <v>51</v>
      </c>
      <c r="H49" s="1" t="s">
        <v>52</v>
      </c>
    </row>
    <row r="50">
      <c r="A50" s="34">
        <v>45747.0</v>
      </c>
      <c r="B50" s="1" t="s">
        <v>42</v>
      </c>
      <c r="C50" s="36">
        <v>1.0</v>
      </c>
      <c r="D50" s="1">
        <v>1.0</v>
      </c>
      <c r="E50" s="37">
        <f t="shared" si="3"/>
        <v>1</v>
      </c>
      <c r="F50" s="1" t="s">
        <v>48</v>
      </c>
      <c r="G50" s="1" t="s">
        <v>53</v>
      </c>
      <c r="H50" s="2"/>
    </row>
    <row r="51">
      <c r="A51" s="34">
        <v>45747.0</v>
      </c>
      <c r="B51" s="1" t="s">
        <v>42</v>
      </c>
      <c r="C51" s="36">
        <v>1.0</v>
      </c>
      <c r="D51" s="1">
        <v>1.0</v>
      </c>
      <c r="E51" s="37">
        <f t="shared" si="3"/>
        <v>1</v>
      </c>
      <c r="F51" s="1" t="s">
        <v>28</v>
      </c>
      <c r="G51" s="1" t="s">
        <v>49</v>
      </c>
      <c r="H51" s="2"/>
    </row>
    <row r="52">
      <c r="A52" s="34">
        <v>45747.0</v>
      </c>
      <c r="B52" s="1" t="s">
        <v>42</v>
      </c>
      <c r="C52" s="36">
        <v>1.0</v>
      </c>
      <c r="D52" s="1">
        <v>1.0</v>
      </c>
      <c r="E52" s="37">
        <f t="shared" si="3"/>
        <v>1</v>
      </c>
      <c r="F52" s="1" t="s">
        <v>28</v>
      </c>
      <c r="G52" s="1" t="s">
        <v>49</v>
      </c>
      <c r="H52" s="2"/>
    </row>
    <row r="53">
      <c r="A53" s="34">
        <v>45747.0</v>
      </c>
      <c r="B53" s="1" t="s">
        <v>42</v>
      </c>
      <c r="C53" s="36">
        <v>1.0</v>
      </c>
      <c r="D53" s="1">
        <v>1.0</v>
      </c>
      <c r="E53" s="37">
        <f t="shared" si="3"/>
        <v>1</v>
      </c>
      <c r="F53" s="1" t="s">
        <v>28</v>
      </c>
      <c r="G53" s="1" t="s">
        <v>49</v>
      </c>
      <c r="H53" s="2"/>
    </row>
    <row r="54">
      <c r="A54" s="34">
        <v>45747.0</v>
      </c>
      <c r="B54" s="1" t="s">
        <v>42</v>
      </c>
      <c r="C54" s="36">
        <v>1.0</v>
      </c>
      <c r="D54" s="1">
        <v>1.0</v>
      </c>
      <c r="E54" s="37">
        <f t="shared" si="3"/>
        <v>1</v>
      </c>
      <c r="F54" s="1" t="s">
        <v>48</v>
      </c>
      <c r="G54" s="1" t="s">
        <v>49</v>
      </c>
      <c r="H54" s="2"/>
    </row>
    <row r="55">
      <c r="A55" s="34">
        <v>45747.0</v>
      </c>
      <c r="B55" s="1" t="s">
        <v>42</v>
      </c>
      <c r="C55" s="36">
        <v>1.0</v>
      </c>
      <c r="D55" s="1">
        <v>1.0</v>
      </c>
      <c r="E55" s="37">
        <f t="shared" si="3"/>
        <v>1</v>
      </c>
      <c r="F55" s="1" t="s">
        <v>28</v>
      </c>
      <c r="G55" s="1" t="s">
        <v>49</v>
      </c>
      <c r="H55" s="2"/>
    </row>
    <row r="56">
      <c r="A56" s="34">
        <v>45747.0</v>
      </c>
      <c r="B56" s="1" t="s">
        <v>42</v>
      </c>
      <c r="C56" s="36">
        <v>1.0</v>
      </c>
      <c r="D56" s="1">
        <v>1.0</v>
      </c>
      <c r="E56" s="37">
        <f t="shared" si="3"/>
        <v>1</v>
      </c>
      <c r="F56" s="1" t="s">
        <v>28</v>
      </c>
      <c r="G56" s="1" t="s">
        <v>49</v>
      </c>
      <c r="H56" s="2"/>
    </row>
    <row r="57">
      <c r="A57" s="34">
        <v>45747.0</v>
      </c>
      <c r="B57" s="1" t="s">
        <v>42</v>
      </c>
      <c r="C57" s="36">
        <v>1.0</v>
      </c>
      <c r="D57" s="1">
        <v>1.0</v>
      </c>
      <c r="E57" s="37">
        <f t="shared" si="3"/>
        <v>1</v>
      </c>
      <c r="F57" s="1" t="s">
        <v>36</v>
      </c>
      <c r="G57" s="1" t="s">
        <v>54</v>
      </c>
      <c r="H57" s="2"/>
    </row>
    <row r="58">
      <c r="A58" s="34">
        <v>45747.0</v>
      </c>
      <c r="B58" s="1" t="s">
        <v>42</v>
      </c>
      <c r="C58" s="36">
        <v>1.0</v>
      </c>
      <c r="D58" s="1">
        <v>1.0</v>
      </c>
      <c r="E58" s="37">
        <f t="shared" si="3"/>
        <v>1</v>
      </c>
      <c r="F58" s="1" t="s">
        <v>48</v>
      </c>
      <c r="G58" s="1" t="s">
        <v>54</v>
      </c>
      <c r="H58" s="2"/>
    </row>
    <row r="59">
      <c r="A59" s="34">
        <v>45747.0</v>
      </c>
      <c r="B59" s="1" t="s">
        <v>42</v>
      </c>
      <c r="C59" s="36">
        <v>1.0</v>
      </c>
      <c r="D59" s="1">
        <v>1.0</v>
      </c>
      <c r="E59" s="37">
        <f t="shared" si="3"/>
        <v>1</v>
      </c>
      <c r="F59" s="1" t="s">
        <v>28</v>
      </c>
      <c r="G59" s="1" t="s">
        <v>35</v>
      </c>
      <c r="H59" s="2"/>
    </row>
    <row r="60">
      <c r="A60" s="34">
        <v>45747.0</v>
      </c>
      <c r="B60" s="1" t="s">
        <v>42</v>
      </c>
      <c r="C60" s="36">
        <v>1.0</v>
      </c>
      <c r="D60" s="1">
        <v>1.0</v>
      </c>
      <c r="E60" s="37">
        <f t="shared" si="3"/>
        <v>1</v>
      </c>
      <c r="F60" s="1" t="s">
        <v>28</v>
      </c>
      <c r="G60" s="1" t="s">
        <v>35</v>
      </c>
      <c r="H60" s="2"/>
    </row>
    <row r="61">
      <c r="A61" s="34">
        <v>45747.0</v>
      </c>
      <c r="B61" s="1" t="s">
        <v>42</v>
      </c>
      <c r="C61" s="36">
        <v>0.7</v>
      </c>
      <c r="D61" s="1">
        <v>1.0</v>
      </c>
      <c r="E61" s="37">
        <f t="shared" si="3"/>
        <v>0.7</v>
      </c>
      <c r="F61" s="1" t="s">
        <v>28</v>
      </c>
      <c r="G61" s="1" t="s">
        <v>29</v>
      </c>
      <c r="H61" s="1"/>
    </row>
    <row r="62">
      <c r="A62" s="34">
        <v>45747.0</v>
      </c>
      <c r="B62" s="1" t="s">
        <v>42</v>
      </c>
      <c r="C62" s="36">
        <v>1.0</v>
      </c>
      <c r="D62" s="1">
        <v>1.0</v>
      </c>
      <c r="E62" s="37">
        <f t="shared" si="3"/>
        <v>1</v>
      </c>
      <c r="F62" s="1" t="s">
        <v>40</v>
      </c>
      <c r="G62" s="1" t="s">
        <v>41</v>
      </c>
      <c r="H62" s="2"/>
    </row>
    <row r="63">
      <c r="A63" s="34">
        <v>45747.0</v>
      </c>
      <c r="B63" s="1" t="s">
        <v>42</v>
      </c>
      <c r="C63" s="36">
        <v>1.0</v>
      </c>
      <c r="D63" s="1">
        <v>1.0</v>
      </c>
      <c r="E63" s="37">
        <f>C64*D63</f>
        <v>1</v>
      </c>
      <c r="F63" s="1" t="s">
        <v>40</v>
      </c>
      <c r="G63" s="1" t="s">
        <v>41</v>
      </c>
      <c r="H63" s="2"/>
    </row>
    <row r="64">
      <c r="A64" s="34">
        <v>45747.0</v>
      </c>
      <c r="B64" s="1" t="s">
        <v>42</v>
      </c>
      <c r="C64" s="36">
        <v>1.0</v>
      </c>
      <c r="D64" s="1">
        <v>1.0</v>
      </c>
      <c r="E64" s="37">
        <f t="shared" ref="E64:E67" si="4">C64*D64</f>
        <v>1</v>
      </c>
      <c r="F64" s="1" t="s">
        <v>40</v>
      </c>
      <c r="G64" s="1" t="s">
        <v>41</v>
      </c>
      <c r="H64" s="2"/>
    </row>
    <row r="65">
      <c r="A65" s="34">
        <v>45747.0</v>
      </c>
      <c r="B65" s="1" t="s">
        <v>42</v>
      </c>
      <c r="C65" s="36">
        <v>1.0</v>
      </c>
      <c r="D65" s="1">
        <v>2.0</v>
      </c>
      <c r="E65" s="37">
        <f t="shared" si="4"/>
        <v>2</v>
      </c>
      <c r="F65" s="1" t="s">
        <v>55</v>
      </c>
      <c r="G65" s="1" t="s">
        <v>56</v>
      </c>
      <c r="H65" s="2"/>
    </row>
    <row r="66">
      <c r="A66" s="34">
        <v>45747.0</v>
      </c>
      <c r="B66" s="1" t="s">
        <v>42</v>
      </c>
      <c r="C66" s="36">
        <v>1.0</v>
      </c>
      <c r="D66" s="1">
        <v>2.0</v>
      </c>
      <c r="E66" s="37">
        <f t="shared" si="4"/>
        <v>2</v>
      </c>
      <c r="F66" s="1" t="s">
        <v>57</v>
      </c>
      <c r="G66" s="1" t="s">
        <v>41</v>
      </c>
      <c r="H66" s="2"/>
    </row>
    <row r="67">
      <c r="A67" s="34">
        <v>45747.0</v>
      </c>
      <c r="B67" s="1" t="s">
        <v>42</v>
      </c>
      <c r="C67" s="36">
        <v>1.0</v>
      </c>
      <c r="D67" s="1">
        <v>2.0</v>
      </c>
      <c r="E67" s="37">
        <f t="shared" si="4"/>
        <v>2</v>
      </c>
      <c r="F67" s="1" t="s">
        <v>40</v>
      </c>
      <c r="G67" s="1" t="s">
        <v>41</v>
      </c>
      <c r="H67" s="2"/>
    </row>
    <row r="68">
      <c r="A68" s="34"/>
      <c r="B68" s="1"/>
      <c r="C68" s="36"/>
      <c r="D68" s="1"/>
      <c r="E68" s="17"/>
      <c r="F68" s="1"/>
      <c r="G68" s="1"/>
      <c r="H68" s="2"/>
    </row>
    <row r="69">
      <c r="A69" s="34"/>
      <c r="B69" s="1"/>
      <c r="C69" s="36"/>
      <c r="D69" s="1"/>
      <c r="E69" s="17"/>
      <c r="F69" s="1"/>
      <c r="G69" s="1"/>
      <c r="H69" s="2"/>
    </row>
    <row r="70">
      <c r="A70" s="34"/>
      <c r="B70" s="1"/>
      <c r="C70" s="36"/>
      <c r="D70" s="1"/>
      <c r="E70" s="17"/>
      <c r="F70" s="1"/>
      <c r="G70" s="1"/>
      <c r="H70" s="2"/>
    </row>
    <row r="71">
      <c r="A71" s="34"/>
      <c r="B71" s="1"/>
      <c r="C71" s="36"/>
      <c r="D71" s="1"/>
      <c r="E71" s="17"/>
      <c r="F71" s="1"/>
      <c r="G71" s="1"/>
      <c r="H71" s="2"/>
    </row>
    <row r="72">
      <c r="A72" s="34"/>
      <c r="B72" s="1"/>
      <c r="C72" s="36"/>
      <c r="D72" s="1"/>
      <c r="E72" s="17"/>
      <c r="F72" s="1"/>
      <c r="G72" s="1"/>
      <c r="H72" s="2"/>
    </row>
    <row r="73">
      <c r="A73" s="40"/>
      <c r="B73" s="1"/>
      <c r="C73" s="36"/>
      <c r="D73" s="1"/>
      <c r="E73" s="17"/>
      <c r="F73" s="7"/>
      <c r="G73" s="7"/>
      <c r="H73" s="2"/>
    </row>
    <row r="74">
      <c r="A74" s="40"/>
      <c r="B74" s="1"/>
      <c r="C74" s="36"/>
      <c r="D74" s="1"/>
      <c r="E74" s="17"/>
      <c r="F74" s="1"/>
      <c r="G74" s="7"/>
      <c r="H74" s="2"/>
    </row>
    <row r="75">
      <c r="A75" s="40"/>
      <c r="B75" s="1"/>
      <c r="C75" s="36"/>
      <c r="D75" s="1"/>
      <c r="E75" s="17"/>
      <c r="F75" s="1"/>
      <c r="G75" s="1"/>
      <c r="H75" s="2"/>
    </row>
    <row r="76">
      <c r="A76" s="40"/>
      <c r="B76" s="1"/>
      <c r="C76" s="36"/>
      <c r="D76" s="1"/>
      <c r="E76" s="17"/>
      <c r="F76" s="1"/>
      <c r="G76" s="1"/>
      <c r="H76" s="2"/>
    </row>
    <row r="77">
      <c r="A77" s="40"/>
      <c r="B77" s="1"/>
      <c r="C77" s="36"/>
      <c r="D77" s="1"/>
      <c r="E77" s="17"/>
      <c r="F77" s="1"/>
      <c r="G77" s="1"/>
      <c r="H77" s="2"/>
    </row>
    <row r="78">
      <c r="A78" s="40"/>
      <c r="B78" s="1"/>
      <c r="C78" s="36"/>
      <c r="D78" s="1"/>
      <c r="E78" s="17"/>
      <c r="F78" s="1"/>
      <c r="G78" s="1"/>
      <c r="H78" s="2"/>
    </row>
    <row r="79">
      <c r="A79" s="40"/>
      <c r="B79" s="1"/>
      <c r="C79" s="36"/>
      <c r="D79" s="1"/>
      <c r="E79" s="17"/>
      <c r="F79" s="1"/>
      <c r="G79" s="1"/>
      <c r="H79" s="2"/>
    </row>
    <row r="80">
      <c r="A80" s="40"/>
      <c r="B80" s="1"/>
      <c r="C80" s="36"/>
      <c r="D80" s="1"/>
      <c r="E80" s="17"/>
      <c r="F80" s="1"/>
      <c r="G80" s="1"/>
      <c r="H80" s="2"/>
    </row>
    <row r="81">
      <c r="A81" s="40"/>
      <c r="B81" s="1"/>
      <c r="C81" s="36"/>
      <c r="D81" s="1"/>
      <c r="E81" s="17"/>
      <c r="F81" s="1"/>
      <c r="G81" s="1"/>
      <c r="H81" s="2"/>
    </row>
    <row r="82">
      <c r="A82" s="40"/>
      <c r="B82" s="1"/>
      <c r="C82" s="36"/>
      <c r="D82" s="1"/>
      <c r="E82" s="17"/>
      <c r="F82" s="1"/>
      <c r="G82" s="1"/>
      <c r="H82" s="2"/>
    </row>
    <row r="83">
      <c r="A83" s="40"/>
      <c r="B83" s="1"/>
      <c r="C83" s="36"/>
      <c r="D83" s="1"/>
      <c r="E83" s="17"/>
      <c r="F83" s="1"/>
      <c r="G83" s="1"/>
      <c r="H83" s="2"/>
    </row>
    <row r="84">
      <c r="A84" s="40"/>
      <c r="B84" s="1"/>
      <c r="C84" s="36"/>
      <c r="D84" s="1"/>
      <c r="E84" s="17"/>
      <c r="F84" s="1"/>
      <c r="G84" s="1"/>
      <c r="H84" s="2"/>
    </row>
    <row r="85">
      <c r="A85" s="40"/>
      <c r="B85" s="1"/>
      <c r="C85" s="36"/>
      <c r="D85" s="1"/>
      <c r="E85" s="17"/>
      <c r="F85" s="1"/>
      <c r="G85" s="1"/>
      <c r="H85" s="2"/>
    </row>
    <row r="86">
      <c r="A86" s="40"/>
      <c r="B86" s="1"/>
      <c r="C86" s="36"/>
      <c r="D86" s="1"/>
      <c r="E86" s="17"/>
      <c r="F86" s="1"/>
      <c r="G86" s="1"/>
      <c r="H86" s="2"/>
    </row>
    <row r="87">
      <c r="A87" s="40"/>
      <c r="B87" s="1"/>
      <c r="C87" s="36"/>
      <c r="D87" s="1"/>
      <c r="E87" s="17"/>
      <c r="F87" s="1"/>
      <c r="G87" s="1"/>
      <c r="H87" s="2"/>
    </row>
    <row r="88">
      <c r="A88" s="40"/>
      <c r="B88" s="1"/>
      <c r="C88" s="36"/>
      <c r="D88" s="1"/>
      <c r="E88" s="17"/>
      <c r="F88" s="1"/>
      <c r="G88" s="1"/>
      <c r="H88" s="2"/>
    </row>
    <row r="89">
      <c r="A89" s="40"/>
      <c r="B89" s="1"/>
      <c r="C89" s="36"/>
      <c r="D89" s="1"/>
      <c r="E89" s="17"/>
      <c r="F89" s="1"/>
      <c r="G89" s="1"/>
      <c r="H89" s="2"/>
    </row>
    <row r="90">
      <c r="A90" s="40"/>
      <c r="B90" s="1"/>
      <c r="C90" s="36"/>
      <c r="D90" s="1"/>
      <c r="E90" s="17"/>
      <c r="F90" s="1"/>
      <c r="G90" s="1"/>
      <c r="H90" s="2"/>
    </row>
    <row r="91">
      <c r="A91" s="40"/>
      <c r="B91" s="1"/>
      <c r="C91" s="36"/>
      <c r="D91" s="1"/>
      <c r="E91" s="17"/>
      <c r="F91" s="1"/>
      <c r="G91" s="1"/>
      <c r="H91" s="2"/>
    </row>
    <row r="92">
      <c r="A92" s="40"/>
      <c r="B92" s="1"/>
      <c r="C92" s="36"/>
      <c r="D92" s="1"/>
      <c r="E92" s="17"/>
      <c r="F92" s="1"/>
      <c r="G92" s="1"/>
      <c r="H92" s="2"/>
    </row>
    <row r="93">
      <c r="A93" s="40"/>
      <c r="B93" s="1"/>
      <c r="C93" s="36"/>
      <c r="D93" s="1"/>
      <c r="E93" s="17"/>
      <c r="F93" s="1"/>
      <c r="G93" s="1"/>
      <c r="H93" s="2"/>
    </row>
    <row r="94">
      <c r="A94" s="40"/>
      <c r="B94" s="1"/>
      <c r="C94" s="36"/>
      <c r="D94" s="1"/>
      <c r="E94" s="17"/>
      <c r="F94" s="1"/>
      <c r="G94" s="1"/>
      <c r="H94" s="2"/>
    </row>
    <row r="95">
      <c r="A95" s="40"/>
      <c r="B95" s="1"/>
      <c r="C95" s="36"/>
      <c r="D95" s="1"/>
      <c r="E95" s="17"/>
      <c r="F95" s="1"/>
      <c r="G95" s="1"/>
      <c r="H95" s="2"/>
    </row>
    <row r="96">
      <c r="A96" s="40"/>
      <c r="B96" s="1"/>
      <c r="C96" s="36"/>
      <c r="D96" s="1"/>
      <c r="E96" s="17"/>
      <c r="F96" s="1"/>
      <c r="G96" s="1"/>
      <c r="H96" s="2"/>
    </row>
    <row r="97">
      <c r="A97" s="40"/>
      <c r="B97" s="1"/>
      <c r="C97" s="36"/>
      <c r="D97" s="1"/>
      <c r="E97" s="17"/>
      <c r="F97" s="1"/>
      <c r="G97" s="1"/>
      <c r="H97" s="2"/>
    </row>
    <row r="98">
      <c r="A98" s="40"/>
      <c r="B98" s="1"/>
      <c r="C98" s="36"/>
      <c r="D98" s="1"/>
      <c r="E98" s="17"/>
      <c r="F98" s="1"/>
      <c r="G98" s="1"/>
      <c r="H98" s="2"/>
    </row>
    <row r="99">
      <c r="A99" s="40"/>
      <c r="B99" s="1"/>
      <c r="C99" s="36"/>
      <c r="D99" s="1"/>
      <c r="E99" s="17"/>
      <c r="F99" s="1"/>
      <c r="G99" s="1"/>
      <c r="H99" s="2"/>
    </row>
    <row r="100">
      <c r="A100" s="40"/>
      <c r="B100" s="1"/>
      <c r="C100" s="36"/>
      <c r="D100" s="1"/>
      <c r="E100" s="17"/>
      <c r="F100" s="1"/>
      <c r="G100" s="1"/>
      <c r="H100" s="2"/>
    </row>
    <row r="101">
      <c r="A101" s="40"/>
      <c r="B101" s="1"/>
      <c r="C101" s="36"/>
      <c r="D101" s="1"/>
      <c r="E101" s="17"/>
      <c r="F101" s="1"/>
      <c r="G101" s="1"/>
    </row>
    <row r="102">
      <c r="A102" s="40"/>
      <c r="B102" s="1"/>
      <c r="C102" s="36"/>
      <c r="D102" s="1"/>
      <c r="E102" s="17"/>
      <c r="F102" s="1"/>
      <c r="G102" s="1"/>
    </row>
    <row r="103">
      <c r="A103" s="40"/>
      <c r="B103" s="1"/>
      <c r="C103" s="36"/>
      <c r="D103" s="1"/>
      <c r="E103" s="17"/>
      <c r="F103" s="1"/>
      <c r="G103" s="1"/>
    </row>
    <row r="104">
      <c r="A104" s="40"/>
      <c r="B104" s="1"/>
      <c r="C104" s="36"/>
      <c r="D104" s="1"/>
      <c r="E104" s="17"/>
      <c r="F104" s="1"/>
      <c r="G104" s="1"/>
    </row>
    <row r="105">
      <c r="A105" s="41"/>
      <c r="B105" s="1"/>
      <c r="C105" s="36"/>
      <c r="D105" s="1"/>
      <c r="E105" s="2"/>
      <c r="F105" s="1"/>
      <c r="G105" s="1"/>
    </row>
    <row r="106">
      <c r="A106" s="41"/>
      <c r="B106" s="1"/>
      <c r="C106" s="36"/>
      <c r="D106" s="1"/>
      <c r="E106" s="2"/>
      <c r="F106" s="1"/>
      <c r="G106" s="1"/>
    </row>
    <row r="107">
      <c r="A107" s="41"/>
      <c r="B107" s="1"/>
      <c r="C107" s="36"/>
      <c r="D107" s="1"/>
      <c r="E107" s="2"/>
      <c r="F107" s="1"/>
      <c r="G107" s="1"/>
    </row>
    <row r="108">
      <c r="A108" s="41"/>
      <c r="B108" s="1"/>
      <c r="C108" s="36"/>
      <c r="D108" s="1"/>
      <c r="E108" s="2"/>
      <c r="F108" s="1"/>
      <c r="G108" s="1"/>
    </row>
    <row r="109">
      <c r="A109" s="41"/>
      <c r="B109" s="1"/>
      <c r="C109" s="36"/>
      <c r="D109" s="1"/>
      <c r="E109" s="2"/>
      <c r="F109" s="1"/>
      <c r="G109" s="1"/>
    </row>
    <row r="110">
      <c r="A110" s="41"/>
      <c r="B110" s="1"/>
      <c r="C110" s="36"/>
      <c r="D110" s="1"/>
      <c r="E110" s="2"/>
      <c r="F110" s="1"/>
      <c r="G110" s="1"/>
    </row>
    <row r="111">
      <c r="A111" s="41"/>
      <c r="B111" s="1"/>
      <c r="C111" s="36"/>
      <c r="D111" s="1"/>
      <c r="E111" s="2"/>
      <c r="F111" s="1"/>
      <c r="G111" s="1"/>
    </row>
    <row r="112">
      <c r="A112" s="41"/>
      <c r="B112" s="1"/>
      <c r="C112" s="36"/>
      <c r="D112" s="1"/>
      <c r="E112" s="36"/>
      <c r="F112" s="1"/>
      <c r="G112" s="1"/>
    </row>
    <row r="113">
      <c r="A113" s="41"/>
      <c r="B113" s="1"/>
      <c r="C113" s="36"/>
      <c r="D113" s="1"/>
      <c r="E113" s="36"/>
      <c r="F113" s="1"/>
      <c r="G113" s="1"/>
    </row>
    <row r="114">
      <c r="A114" s="41"/>
      <c r="B114" s="1"/>
      <c r="C114" s="36"/>
      <c r="D114" s="1"/>
      <c r="E114" s="36"/>
      <c r="F114" s="1"/>
      <c r="G114" s="1"/>
    </row>
    <row r="115">
      <c r="A115" s="41"/>
      <c r="B115" s="1"/>
      <c r="C115" s="36"/>
      <c r="D115" s="1"/>
      <c r="E115" s="36"/>
      <c r="F115" s="1"/>
      <c r="G115" s="1"/>
    </row>
    <row r="116">
      <c r="A116" s="34"/>
      <c r="B116" s="1"/>
      <c r="C116" s="36"/>
      <c r="D116" s="1"/>
      <c r="E116" s="36"/>
      <c r="F116" s="1"/>
      <c r="G116" s="1"/>
    </row>
    <row r="117">
      <c r="A117" s="34"/>
      <c r="B117" s="1"/>
      <c r="C117" s="36"/>
      <c r="D117" s="1"/>
      <c r="E117" s="36"/>
      <c r="F117" s="1"/>
      <c r="G117" s="1"/>
    </row>
    <row r="118">
      <c r="A118" s="34"/>
      <c r="B118" s="1"/>
      <c r="C118" s="36"/>
      <c r="D118" s="1"/>
      <c r="E118" s="36"/>
      <c r="F118" s="1"/>
      <c r="G118" s="1"/>
    </row>
    <row r="119">
      <c r="A119" s="34"/>
      <c r="B119" s="1"/>
      <c r="C119" s="36"/>
      <c r="D119" s="1"/>
      <c r="E119" s="36"/>
      <c r="F119" s="1"/>
      <c r="G119" s="1"/>
    </row>
    <row r="120">
      <c r="A120" s="34"/>
      <c r="B120" s="1"/>
      <c r="C120" s="36"/>
      <c r="D120" s="1"/>
      <c r="E120" s="36"/>
      <c r="F120" s="1"/>
      <c r="G120" s="1"/>
    </row>
    <row r="121">
      <c r="A121" s="34"/>
      <c r="B121" s="1"/>
      <c r="C121" s="36"/>
      <c r="D121" s="1"/>
      <c r="E121" s="36"/>
      <c r="F121" s="1"/>
      <c r="G121" s="1"/>
    </row>
    <row r="122">
      <c r="A122" s="34"/>
      <c r="B122" s="1"/>
      <c r="C122" s="36"/>
      <c r="D122" s="1"/>
      <c r="E122" s="36"/>
      <c r="F122" s="1"/>
      <c r="G122" s="1"/>
    </row>
    <row r="123">
      <c r="A123" s="34"/>
      <c r="B123" s="1"/>
      <c r="C123" s="36"/>
      <c r="D123" s="1"/>
      <c r="E123" s="36"/>
      <c r="F123" s="1"/>
      <c r="G123" s="1"/>
    </row>
    <row r="124">
      <c r="A124" s="34"/>
      <c r="B124" s="1"/>
      <c r="C124" s="36"/>
      <c r="D124" s="1"/>
      <c r="E124" s="36"/>
      <c r="F124" s="1"/>
      <c r="G124" s="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6" max="6" width="16.88"/>
    <col customWidth="1" min="8" max="8" width="27.5"/>
    <col customWidth="1" min="10" max="10" width="8.38"/>
    <col customWidth="1" min="11" max="11" width="12.63"/>
  </cols>
  <sheetData>
    <row r="1">
      <c r="A1" s="14" t="s">
        <v>0</v>
      </c>
      <c r="B1" s="14" t="s">
        <v>20</v>
      </c>
      <c r="C1" s="14" t="s">
        <v>21</v>
      </c>
      <c r="D1" s="14" t="s">
        <v>2</v>
      </c>
      <c r="E1" s="14" t="s">
        <v>22</v>
      </c>
      <c r="F1" s="14" t="s">
        <v>23</v>
      </c>
      <c r="G1" s="14" t="s">
        <v>24</v>
      </c>
      <c r="H1" s="14" t="s">
        <v>25</v>
      </c>
      <c r="J1" s="15" t="s">
        <v>26</v>
      </c>
      <c r="K1" s="15" t="s">
        <v>27</v>
      </c>
    </row>
    <row r="2">
      <c r="A2" s="34">
        <v>45748.0</v>
      </c>
      <c r="B2" s="1" t="s">
        <v>42</v>
      </c>
      <c r="C2" s="36">
        <v>1.0</v>
      </c>
      <c r="D2" s="1">
        <v>1.0</v>
      </c>
      <c r="E2" s="37">
        <f t="shared" ref="E2:E45" si="1">C2*D2</f>
        <v>1</v>
      </c>
      <c r="F2" s="1" t="s">
        <v>28</v>
      </c>
      <c r="G2" s="1" t="s">
        <v>41</v>
      </c>
      <c r="H2" s="20"/>
      <c r="J2" s="21">
        <f>SUM(E:E)</f>
        <v>76</v>
      </c>
      <c r="K2" s="22">
        <f>SUM(D:D)</f>
        <v>72</v>
      </c>
    </row>
    <row r="3">
      <c r="A3" s="34">
        <v>45748.0</v>
      </c>
      <c r="B3" s="1" t="s">
        <v>42</v>
      </c>
      <c r="C3" s="36">
        <v>1.0</v>
      </c>
      <c r="D3" s="1">
        <v>1.0</v>
      </c>
      <c r="E3" s="37">
        <f t="shared" si="1"/>
        <v>1</v>
      </c>
      <c r="F3" s="1" t="s">
        <v>28</v>
      </c>
      <c r="G3" s="1" t="s">
        <v>41</v>
      </c>
      <c r="H3" s="25"/>
    </row>
    <row r="4">
      <c r="A4" s="34">
        <v>45748.0</v>
      </c>
      <c r="B4" s="1" t="s">
        <v>42</v>
      </c>
      <c r="C4" s="36">
        <v>1.0</v>
      </c>
      <c r="D4" s="1">
        <v>1.0</v>
      </c>
      <c r="E4" s="37">
        <f t="shared" si="1"/>
        <v>1</v>
      </c>
      <c r="F4" s="1" t="s">
        <v>28</v>
      </c>
      <c r="G4" s="1" t="s">
        <v>29</v>
      </c>
      <c r="H4" s="26"/>
    </row>
    <row r="5">
      <c r="A5" s="34">
        <v>45748.0</v>
      </c>
      <c r="B5" s="1" t="s">
        <v>42</v>
      </c>
      <c r="C5" s="36">
        <v>1.0</v>
      </c>
      <c r="D5" s="1">
        <v>1.0</v>
      </c>
      <c r="E5" s="37">
        <f t="shared" si="1"/>
        <v>1</v>
      </c>
      <c r="F5" s="1" t="s">
        <v>39</v>
      </c>
      <c r="G5" s="1" t="s">
        <v>29</v>
      </c>
      <c r="H5" s="28"/>
    </row>
    <row r="6">
      <c r="A6" s="34">
        <v>45748.0</v>
      </c>
      <c r="B6" s="1" t="s">
        <v>42</v>
      </c>
      <c r="C6" s="36">
        <v>1.0</v>
      </c>
      <c r="D6" s="1">
        <v>1.0</v>
      </c>
      <c r="E6" s="37">
        <f t="shared" si="1"/>
        <v>1</v>
      </c>
      <c r="F6" s="1" t="s">
        <v>28</v>
      </c>
      <c r="G6" s="1" t="s">
        <v>29</v>
      </c>
      <c r="H6" s="26"/>
    </row>
    <row r="7">
      <c r="A7" s="40">
        <v>45748.0</v>
      </c>
      <c r="B7" s="1" t="s">
        <v>42</v>
      </c>
      <c r="C7" s="36">
        <v>1.0</v>
      </c>
      <c r="D7" s="1">
        <v>1.0</v>
      </c>
      <c r="E7" s="37">
        <f t="shared" si="1"/>
        <v>1</v>
      </c>
      <c r="F7" s="7" t="s">
        <v>36</v>
      </c>
      <c r="G7" s="7" t="s">
        <v>29</v>
      </c>
      <c r="H7" s="25"/>
    </row>
    <row r="8">
      <c r="A8" s="40">
        <v>45748.0</v>
      </c>
      <c r="B8" s="1" t="s">
        <v>42</v>
      </c>
      <c r="C8" s="36">
        <v>1.0</v>
      </c>
      <c r="D8" s="1">
        <v>1.0</v>
      </c>
      <c r="E8" s="37">
        <f t="shared" si="1"/>
        <v>1</v>
      </c>
      <c r="F8" s="1" t="s">
        <v>40</v>
      </c>
      <c r="G8" s="7" t="s">
        <v>58</v>
      </c>
      <c r="H8" s="20"/>
    </row>
    <row r="9">
      <c r="A9" s="40">
        <v>45748.0</v>
      </c>
      <c r="B9" s="1" t="s">
        <v>42</v>
      </c>
      <c r="C9" s="36">
        <v>1.0</v>
      </c>
      <c r="D9" s="1">
        <v>2.0</v>
      </c>
      <c r="E9" s="37">
        <f t="shared" si="1"/>
        <v>2</v>
      </c>
      <c r="F9" s="1" t="s">
        <v>40</v>
      </c>
      <c r="G9" s="1" t="s">
        <v>59</v>
      </c>
      <c r="H9" s="25"/>
    </row>
    <row r="10">
      <c r="A10" s="40">
        <v>45748.0</v>
      </c>
      <c r="B10" s="1" t="s">
        <v>42</v>
      </c>
      <c r="C10" s="36">
        <v>1.0</v>
      </c>
      <c r="D10" s="1">
        <v>1.0</v>
      </c>
      <c r="E10" s="37">
        <f t="shared" si="1"/>
        <v>1</v>
      </c>
      <c r="F10" s="1" t="s">
        <v>37</v>
      </c>
      <c r="G10" s="1" t="s">
        <v>59</v>
      </c>
      <c r="H10" s="20"/>
    </row>
    <row r="11">
      <c r="A11" s="40">
        <v>45748.0</v>
      </c>
      <c r="B11" s="1" t="s">
        <v>42</v>
      </c>
      <c r="C11" s="36">
        <v>1.0</v>
      </c>
      <c r="D11" s="1">
        <v>1.0</v>
      </c>
      <c r="E11" s="37">
        <f t="shared" si="1"/>
        <v>1</v>
      </c>
      <c r="F11" s="1" t="s">
        <v>39</v>
      </c>
      <c r="G11" s="1" t="s">
        <v>59</v>
      </c>
      <c r="H11" s="25"/>
    </row>
    <row r="12">
      <c r="A12" s="40">
        <v>45748.0</v>
      </c>
      <c r="B12" s="1" t="s">
        <v>42</v>
      </c>
      <c r="C12" s="36">
        <v>1.0</v>
      </c>
      <c r="D12" s="1">
        <v>1.0</v>
      </c>
      <c r="E12" s="37">
        <f t="shared" si="1"/>
        <v>1</v>
      </c>
      <c r="F12" s="1" t="s">
        <v>39</v>
      </c>
      <c r="G12" s="1" t="s">
        <v>59</v>
      </c>
      <c r="H12" s="20"/>
    </row>
    <row r="13">
      <c r="A13" s="40">
        <v>45748.0</v>
      </c>
      <c r="B13" s="1" t="s">
        <v>42</v>
      </c>
      <c r="C13" s="36">
        <v>1.0</v>
      </c>
      <c r="D13" s="1">
        <v>1.0</v>
      </c>
      <c r="E13" s="37">
        <f t="shared" si="1"/>
        <v>1</v>
      </c>
      <c r="F13" s="1" t="s">
        <v>39</v>
      </c>
      <c r="G13" s="1" t="s">
        <v>59</v>
      </c>
      <c r="H13" s="25"/>
    </row>
    <row r="14">
      <c r="A14" s="40">
        <v>45748.0</v>
      </c>
      <c r="B14" s="1" t="s">
        <v>42</v>
      </c>
      <c r="C14" s="36">
        <v>1.0</v>
      </c>
      <c r="D14" s="1">
        <v>1.0</v>
      </c>
      <c r="E14" s="37">
        <f t="shared" si="1"/>
        <v>1</v>
      </c>
      <c r="F14" s="1" t="s">
        <v>39</v>
      </c>
      <c r="G14" s="1" t="s">
        <v>59</v>
      </c>
      <c r="H14" s="33"/>
    </row>
    <row r="15">
      <c r="A15" s="40">
        <v>45748.0</v>
      </c>
      <c r="B15" s="1" t="s">
        <v>42</v>
      </c>
      <c r="C15" s="36">
        <v>1.0</v>
      </c>
      <c r="D15" s="1">
        <v>1.0</v>
      </c>
      <c r="E15" s="37">
        <f t="shared" si="1"/>
        <v>1</v>
      </c>
      <c r="F15" s="1" t="s">
        <v>39</v>
      </c>
      <c r="G15" s="1" t="s">
        <v>59</v>
      </c>
      <c r="H15" s="2"/>
    </row>
    <row r="16">
      <c r="A16" s="40">
        <v>45748.0</v>
      </c>
      <c r="B16" s="1" t="s">
        <v>42</v>
      </c>
      <c r="C16" s="36">
        <v>1.0</v>
      </c>
      <c r="D16" s="1">
        <v>1.0</v>
      </c>
      <c r="E16" s="37">
        <f t="shared" si="1"/>
        <v>1</v>
      </c>
      <c r="F16" s="1" t="s">
        <v>39</v>
      </c>
      <c r="G16" s="1" t="s">
        <v>59</v>
      </c>
      <c r="H16" s="2"/>
    </row>
    <row r="17">
      <c r="A17" s="40">
        <v>45749.0</v>
      </c>
      <c r="B17" s="1" t="s">
        <v>42</v>
      </c>
      <c r="C17" s="36">
        <v>1.0</v>
      </c>
      <c r="D17" s="1">
        <v>1.0</v>
      </c>
      <c r="E17" s="37">
        <f t="shared" si="1"/>
        <v>1</v>
      </c>
      <c r="F17" s="1" t="s">
        <v>39</v>
      </c>
      <c r="G17" s="1" t="s">
        <v>31</v>
      </c>
      <c r="H17" s="2"/>
    </row>
    <row r="18">
      <c r="A18" s="40">
        <v>45749.0</v>
      </c>
      <c r="B18" s="1" t="s">
        <v>42</v>
      </c>
      <c r="C18" s="36">
        <v>1.0</v>
      </c>
      <c r="D18" s="1">
        <v>1.0</v>
      </c>
      <c r="E18" s="37">
        <f t="shared" si="1"/>
        <v>1</v>
      </c>
      <c r="F18" s="1" t="s">
        <v>39</v>
      </c>
      <c r="G18" s="1" t="s">
        <v>31</v>
      </c>
      <c r="H18" s="2"/>
    </row>
    <row r="19">
      <c r="A19" s="40">
        <v>45749.0</v>
      </c>
      <c r="B19" s="1" t="s">
        <v>42</v>
      </c>
      <c r="C19" s="36">
        <v>1.0</v>
      </c>
      <c r="D19" s="1">
        <v>1.0</v>
      </c>
      <c r="E19" s="37">
        <f t="shared" si="1"/>
        <v>1</v>
      </c>
      <c r="F19" s="1" t="s">
        <v>39</v>
      </c>
      <c r="G19" s="1" t="s">
        <v>31</v>
      </c>
      <c r="H19" s="2"/>
    </row>
    <row r="20">
      <c r="A20" s="40">
        <v>45749.0</v>
      </c>
      <c r="B20" s="1" t="s">
        <v>42</v>
      </c>
      <c r="C20" s="36">
        <v>1.0</v>
      </c>
      <c r="D20" s="1">
        <v>2.0</v>
      </c>
      <c r="E20" s="37">
        <f t="shared" si="1"/>
        <v>2</v>
      </c>
      <c r="F20" s="1" t="s">
        <v>39</v>
      </c>
      <c r="G20" s="1" t="s">
        <v>31</v>
      </c>
      <c r="H20" s="2"/>
    </row>
    <row r="21">
      <c r="A21" s="40">
        <v>45749.0</v>
      </c>
      <c r="B21" s="1" t="s">
        <v>42</v>
      </c>
      <c r="C21" s="36">
        <v>1.0</v>
      </c>
      <c r="D21" s="1">
        <v>1.0</v>
      </c>
      <c r="E21" s="37">
        <f t="shared" si="1"/>
        <v>1</v>
      </c>
      <c r="F21" s="1" t="s">
        <v>39</v>
      </c>
      <c r="G21" s="1" t="s">
        <v>31</v>
      </c>
      <c r="H21" s="2"/>
    </row>
    <row r="22">
      <c r="A22" s="40">
        <v>45749.0</v>
      </c>
      <c r="B22" s="1" t="s">
        <v>42</v>
      </c>
      <c r="C22" s="36">
        <v>1.0</v>
      </c>
      <c r="D22" s="1">
        <v>1.0</v>
      </c>
      <c r="E22" s="37">
        <f t="shared" si="1"/>
        <v>1</v>
      </c>
      <c r="F22" s="1" t="s">
        <v>39</v>
      </c>
      <c r="G22" s="1" t="s">
        <v>31</v>
      </c>
      <c r="H22" s="2"/>
    </row>
    <row r="23">
      <c r="A23" s="40">
        <v>45749.0</v>
      </c>
      <c r="B23" s="1" t="s">
        <v>42</v>
      </c>
      <c r="C23" s="36">
        <v>1.0</v>
      </c>
      <c r="D23" s="1">
        <v>1.0</v>
      </c>
      <c r="E23" s="37">
        <f t="shared" si="1"/>
        <v>1</v>
      </c>
      <c r="F23" s="1" t="s">
        <v>39</v>
      </c>
      <c r="G23" s="1" t="s">
        <v>31</v>
      </c>
      <c r="H23" s="2"/>
    </row>
    <row r="24">
      <c r="A24" s="40">
        <v>45749.0</v>
      </c>
      <c r="B24" s="1" t="s">
        <v>42</v>
      </c>
      <c r="C24" s="36">
        <v>1.0</v>
      </c>
      <c r="D24" s="1">
        <v>2.0</v>
      </c>
      <c r="E24" s="37">
        <f t="shared" si="1"/>
        <v>2</v>
      </c>
      <c r="F24" s="1" t="s">
        <v>39</v>
      </c>
      <c r="G24" s="1" t="s">
        <v>31</v>
      </c>
      <c r="H24" s="2"/>
    </row>
    <row r="25">
      <c r="A25" s="40">
        <v>45749.0</v>
      </c>
      <c r="B25" s="1" t="s">
        <v>42</v>
      </c>
      <c r="C25" s="36">
        <v>1.0</v>
      </c>
      <c r="D25" s="1">
        <v>2.0</v>
      </c>
      <c r="E25" s="37">
        <f t="shared" si="1"/>
        <v>2</v>
      </c>
      <c r="F25" s="1" t="s">
        <v>39</v>
      </c>
      <c r="G25" s="1" t="s">
        <v>59</v>
      </c>
      <c r="H25" s="2"/>
    </row>
    <row r="26">
      <c r="A26" s="40">
        <v>45749.0</v>
      </c>
      <c r="B26" s="1" t="s">
        <v>42</v>
      </c>
      <c r="C26" s="36">
        <v>1.0</v>
      </c>
      <c r="D26" s="1">
        <v>1.0</v>
      </c>
      <c r="E26" s="37">
        <f t="shared" si="1"/>
        <v>1</v>
      </c>
      <c r="F26" s="1" t="s">
        <v>39</v>
      </c>
      <c r="G26" s="1" t="s">
        <v>59</v>
      </c>
      <c r="H26" s="2"/>
    </row>
    <row r="27">
      <c r="A27" s="40">
        <v>45749.0</v>
      </c>
      <c r="B27" s="1" t="s">
        <v>42</v>
      </c>
      <c r="C27" s="36">
        <v>1.0</v>
      </c>
      <c r="D27" s="1">
        <v>2.0</v>
      </c>
      <c r="E27" s="37">
        <f t="shared" si="1"/>
        <v>2</v>
      </c>
      <c r="F27" s="1" t="s">
        <v>28</v>
      </c>
      <c r="G27" s="1" t="s">
        <v>59</v>
      </c>
      <c r="H27" s="2"/>
    </row>
    <row r="28">
      <c r="A28" s="40">
        <v>45749.0</v>
      </c>
      <c r="B28" s="1" t="s">
        <v>42</v>
      </c>
      <c r="C28" s="36">
        <v>1.0</v>
      </c>
      <c r="D28" s="1">
        <v>1.0</v>
      </c>
      <c r="E28" s="37">
        <f t="shared" si="1"/>
        <v>1</v>
      </c>
      <c r="F28" s="1" t="s">
        <v>40</v>
      </c>
      <c r="G28" s="1" t="s">
        <v>31</v>
      </c>
      <c r="H28" s="2"/>
    </row>
    <row r="29">
      <c r="A29" s="40">
        <v>45749.0</v>
      </c>
      <c r="B29" s="1" t="s">
        <v>42</v>
      </c>
      <c r="C29" s="36">
        <v>1.0</v>
      </c>
      <c r="D29" s="1">
        <v>1.0</v>
      </c>
      <c r="E29" s="37">
        <f t="shared" si="1"/>
        <v>1</v>
      </c>
      <c r="F29" s="1" t="s">
        <v>40</v>
      </c>
      <c r="G29" s="1" t="s">
        <v>59</v>
      </c>
      <c r="H29" s="2"/>
    </row>
    <row r="30">
      <c r="A30" s="40">
        <v>45749.0</v>
      </c>
      <c r="B30" s="1" t="s">
        <v>42</v>
      </c>
      <c r="C30" s="36">
        <v>1.0</v>
      </c>
      <c r="D30" s="1">
        <v>1.0</v>
      </c>
      <c r="E30" s="37">
        <f t="shared" si="1"/>
        <v>1</v>
      </c>
      <c r="F30" s="1" t="s">
        <v>40</v>
      </c>
      <c r="G30" s="1" t="s">
        <v>59</v>
      </c>
      <c r="H30" s="2"/>
    </row>
    <row r="31">
      <c r="A31" s="40">
        <v>45749.0</v>
      </c>
      <c r="B31" s="1" t="s">
        <v>42</v>
      </c>
      <c r="C31" s="36">
        <v>1.0</v>
      </c>
      <c r="D31" s="1">
        <v>1.0</v>
      </c>
      <c r="E31" s="37">
        <f t="shared" si="1"/>
        <v>1</v>
      </c>
      <c r="F31" s="1" t="s">
        <v>40</v>
      </c>
      <c r="G31" s="1" t="s">
        <v>31</v>
      </c>
      <c r="H31" s="2"/>
    </row>
    <row r="32">
      <c r="A32" s="40">
        <v>45749.0</v>
      </c>
      <c r="B32" s="1" t="s">
        <v>42</v>
      </c>
      <c r="C32" s="36">
        <v>1.0</v>
      </c>
      <c r="D32" s="1">
        <v>1.0</v>
      </c>
      <c r="E32" s="37">
        <f t="shared" si="1"/>
        <v>1</v>
      </c>
      <c r="F32" s="1" t="s">
        <v>40</v>
      </c>
      <c r="G32" s="1" t="s">
        <v>31</v>
      </c>
      <c r="H32" s="2"/>
    </row>
    <row r="33">
      <c r="A33" s="40">
        <v>45750.0</v>
      </c>
      <c r="B33" s="1" t="s">
        <v>42</v>
      </c>
      <c r="C33" s="36">
        <v>1.0</v>
      </c>
      <c r="D33" s="1">
        <v>1.0</v>
      </c>
      <c r="E33" s="37">
        <f t="shared" si="1"/>
        <v>1</v>
      </c>
      <c r="F33" s="1" t="s">
        <v>37</v>
      </c>
      <c r="G33" s="1" t="s">
        <v>59</v>
      </c>
      <c r="H33" s="2"/>
    </row>
    <row r="34">
      <c r="A34" s="40">
        <v>45750.0</v>
      </c>
      <c r="B34" s="1" t="s">
        <v>42</v>
      </c>
      <c r="C34" s="36">
        <v>1.0</v>
      </c>
      <c r="D34" s="1">
        <v>1.0</v>
      </c>
      <c r="E34" s="37">
        <f t="shared" si="1"/>
        <v>1</v>
      </c>
      <c r="F34" s="1" t="s">
        <v>37</v>
      </c>
      <c r="G34" s="1" t="s">
        <v>34</v>
      </c>
      <c r="H34" s="2"/>
    </row>
    <row r="35">
      <c r="A35" s="40">
        <v>45750.0</v>
      </c>
      <c r="B35" s="1" t="s">
        <v>42</v>
      </c>
      <c r="C35" s="36">
        <v>1.0</v>
      </c>
      <c r="D35" s="1">
        <v>1.0</v>
      </c>
      <c r="E35" s="37">
        <f t="shared" si="1"/>
        <v>1</v>
      </c>
      <c r="F35" s="1" t="s">
        <v>37</v>
      </c>
      <c r="G35" s="1" t="s">
        <v>34</v>
      </c>
      <c r="H35" s="2"/>
    </row>
    <row r="36">
      <c r="A36" s="40">
        <v>45750.0</v>
      </c>
      <c r="B36" s="1" t="s">
        <v>42</v>
      </c>
      <c r="C36" s="36">
        <v>1.0</v>
      </c>
      <c r="D36" s="1">
        <v>1.0</v>
      </c>
      <c r="E36" s="37">
        <f t="shared" si="1"/>
        <v>1</v>
      </c>
      <c r="F36" s="1" t="s">
        <v>48</v>
      </c>
      <c r="G36" s="1" t="s">
        <v>34</v>
      </c>
      <c r="H36" s="2"/>
    </row>
    <row r="37">
      <c r="A37" s="40">
        <v>45750.0</v>
      </c>
      <c r="B37" s="1" t="s">
        <v>42</v>
      </c>
      <c r="C37" s="36">
        <v>1.0</v>
      </c>
      <c r="D37" s="1">
        <v>3.0</v>
      </c>
      <c r="E37" s="37">
        <f t="shared" si="1"/>
        <v>3</v>
      </c>
      <c r="F37" s="1" t="s">
        <v>48</v>
      </c>
      <c r="G37" s="1" t="s">
        <v>34</v>
      </c>
      <c r="H37" s="2"/>
    </row>
    <row r="38">
      <c r="A38" s="40">
        <v>45750.0</v>
      </c>
      <c r="B38" s="1" t="s">
        <v>42</v>
      </c>
      <c r="C38" s="36">
        <v>1.0</v>
      </c>
      <c r="D38" s="1">
        <v>1.0</v>
      </c>
      <c r="E38" s="37">
        <f t="shared" si="1"/>
        <v>1</v>
      </c>
      <c r="F38" s="1" t="s">
        <v>28</v>
      </c>
      <c r="G38" s="1" t="s">
        <v>59</v>
      </c>
      <c r="H38" s="2"/>
    </row>
    <row r="39">
      <c r="A39" s="41">
        <v>45750.0</v>
      </c>
      <c r="B39" s="1" t="s">
        <v>42</v>
      </c>
      <c r="C39" s="36">
        <v>1.0</v>
      </c>
      <c r="D39" s="1">
        <v>1.0</v>
      </c>
      <c r="E39" s="42">
        <f t="shared" si="1"/>
        <v>1</v>
      </c>
      <c r="F39" s="1" t="s">
        <v>28</v>
      </c>
      <c r="G39" s="1" t="s">
        <v>60</v>
      </c>
      <c r="H39" s="2"/>
      <c r="I39" s="17"/>
      <c r="J39" s="9" t="s">
        <v>45</v>
      </c>
      <c r="K39" s="9"/>
    </row>
    <row r="40">
      <c r="A40" s="41">
        <v>45750.0</v>
      </c>
      <c r="B40" s="1" t="s">
        <v>42</v>
      </c>
      <c r="C40" s="36">
        <v>1.0</v>
      </c>
      <c r="D40" s="1">
        <v>1.0</v>
      </c>
      <c r="E40" s="42">
        <f t="shared" si="1"/>
        <v>1</v>
      </c>
      <c r="F40" s="1" t="s">
        <v>28</v>
      </c>
      <c r="G40" s="1" t="s">
        <v>60</v>
      </c>
      <c r="H40" s="2"/>
    </row>
    <row r="41">
      <c r="A41" s="41">
        <v>45750.0</v>
      </c>
      <c r="B41" s="1" t="s">
        <v>42</v>
      </c>
      <c r="C41" s="36">
        <v>1.0</v>
      </c>
      <c r="D41" s="1">
        <v>1.0</v>
      </c>
      <c r="E41" s="42">
        <f t="shared" si="1"/>
        <v>1</v>
      </c>
      <c r="F41" s="1" t="s">
        <v>28</v>
      </c>
      <c r="G41" s="1" t="s">
        <v>59</v>
      </c>
      <c r="H41" s="2"/>
    </row>
    <row r="42">
      <c r="A42" s="41">
        <v>45750.0</v>
      </c>
      <c r="B42" s="1" t="s">
        <v>42</v>
      </c>
      <c r="C42" s="36">
        <v>1.0</v>
      </c>
      <c r="D42" s="1">
        <v>1.0</v>
      </c>
      <c r="E42" s="42">
        <f t="shared" si="1"/>
        <v>1</v>
      </c>
      <c r="F42" s="1" t="s">
        <v>40</v>
      </c>
      <c r="G42" s="1" t="s">
        <v>59</v>
      </c>
      <c r="H42" s="2"/>
    </row>
    <row r="43">
      <c r="A43" s="41">
        <v>45750.0</v>
      </c>
      <c r="B43" s="1" t="s">
        <v>42</v>
      </c>
      <c r="C43" s="36">
        <v>1.0</v>
      </c>
      <c r="D43" s="1">
        <v>1.0</v>
      </c>
      <c r="E43" s="42">
        <f t="shared" si="1"/>
        <v>1</v>
      </c>
      <c r="F43" s="1" t="s">
        <v>40</v>
      </c>
      <c r="G43" s="1" t="s">
        <v>35</v>
      </c>
      <c r="H43" s="2"/>
    </row>
    <row r="44">
      <c r="A44" s="41">
        <v>45750.0</v>
      </c>
      <c r="B44" s="1" t="s">
        <v>42</v>
      </c>
      <c r="C44" s="36">
        <v>1.0</v>
      </c>
      <c r="D44" s="1">
        <v>1.0</v>
      </c>
      <c r="E44" s="42">
        <f t="shared" si="1"/>
        <v>1</v>
      </c>
      <c r="F44" s="1" t="s">
        <v>40</v>
      </c>
      <c r="G44" s="1" t="s">
        <v>35</v>
      </c>
      <c r="H44" s="2"/>
    </row>
    <row r="45">
      <c r="A45" s="41">
        <v>45750.0</v>
      </c>
      <c r="B45" s="1" t="s">
        <v>42</v>
      </c>
      <c r="C45" s="36">
        <v>1.0</v>
      </c>
      <c r="D45" s="1">
        <v>1.0</v>
      </c>
      <c r="E45" s="42">
        <f t="shared" si="1"/>
        <v>1</v>
      </c>
      <c r="F45" s="1" t="s">
        <v>28</v>
      </c>
      <c r="G45" s="1" t="s">
        <v>35</v>
      </c>
      <c r="H45" s="2"/>
    </row>
    <row r="46">
      <c r="A46" s="41">
        <v>45750.0</v>
      </c>
      <c r="B46" s="1" t="s">
        <v>42</v>
      </c>
      <c r="C46" s="36">
        <v>1.0</v>
      </c>
      <c r="D46" s="1">
        <v>2.0</v>
      </c>
      <c r="E46" s="36">
        <v>2.0</v>
      </c>
      <c r="F46" s="1" t="s">
        <v>48</v>
      </c>
      <c r="G46" s="1" t="s">
        <v>61</v>
      </c>
      <c r="H46" s="2"/>
    </row>
    <row r="47">
      <c r="A47" s="41">
        <v>45750.0</v>
      </c>
      <c r="B47" s="1" t="s">
        <v>42</v>
      </c>
      <c r="C47" s="36">
        <v>1.0</v>
      </c>
      <c r="D47" s="1">
        <v>1.0</v>
      </c>
      <c r="E47" s="36">
        <v>1.0</v>
      </c>
      <c r="F47" s="1" t="s">
        <v>28</v>
      </c>
      <c r="G47" s="1" t="s">
        <v>35</v>
      </c>
      <c r="H47" s="2"/>
    </row>
    <row r="48">
      <c r="A48" s="41">
        <v>45750.0</v>
      </c>
      <c r="B48" s="1" t="s">
        <v>42</v>
      </c>
      <c r="C48" s="36">
        <v>1.0</v>
      </c>
      <c r="D48" s="1">
        <v>2.0</v>
      </c>
      <c r="E48" s="36">
        <v>2.0</v>
      </c>
      <c r="F48" s="1" t="s">
        <v>28</v>
      </c>
      <c r="G48" s="1" t="s">
        <v>35</v>
      </c>
      <c r="H48" s="2"/>
    </row>
    <row r="49">
      <c r="A49" s="41">
        <v>45751.0</v>
      </c>
      <c r="B49" s="1" t="s">
        <v>42</v>
      </c>
      <c r="C49" s="36">
        <v>1.0</v>
      </c>
      <c r="D49" s="1">
        <v>1.0</v>
      </c>
      <c r="E49" s="36">
        <v>1.0</v>
      </c>
      <c r="F49" s="1" t="s">
        <v>28</v>
      </c>
      <c r="G49" s="1" t="s">
        <v>29</v>
      </c>
      <c r="H49" s="1" t="s">
        <v>52</v>
      </c>
    </row>
    <row r="50">
      <c r="A50" s="34">
        <v>45751.0</v>
      </c>
      <c r="B50" s="1" t="s">
        <v>9</v>
      </c>
      <c r="C50" s="36">
        <v>1.0</v>
      </c>
      <c r="D50" s="1">
        <v>2.0</v>
      </c>
      <c r="E50" s="36">
        <v>2.0</v>
      </c>
      <c r="F50" s="1" t="s">
        <v>28</v>
      </c>
      <c r="G50" s="1" t="s">
        <v>35</v>
      </c>
      <c r="H50" s="2"/>
    </row>
    <row r="51">
      <c r="A51" s="34">
        <v>45751.0</v>
      </c>
      <c r="B51" s="1" t="s">
        <v>42</v>
      </c>
      <c r="C51" s="36">
        <v>1.0</v>
      </c>
      <c r="D51" s="1">
        <v>3.0</v>
      </c>
      <c r="E51" s="36">
        <v>3.0</v>
      </c>
      <c r="F51" s="1" t="s">
        <v>62</v>
      </c>
      <c r="G51" s="1" t="s">
        <v>61</v>
      </c>
      <c r="H51" s="2"/>
    </row>
    <row r="52">
      <c r="A52" s="34">
        <v>45754.0</v>
      </c>
      <c r="B52" s="1" t="s">
        <v>42</v>
      </c>
      <c r="C52" s="36">
        <v>1.0</v>
      </c>
      <c r="D52" s="1">
        <v>1.0</v>
      </c>
      <c r="E52" s="36">
        <v>1.0</v>
      </c>
      <c r="F52" s="1" t="s">
        <v>48</v>
      </c>
      <c r="G52" s="1" t="s">
        <v>29</v>
      </c>
      <c r="H52" s="2"/>
    </row>
    <row r="53">
      <c r="A53" s="34">
        <v>45754.0</v>
      </c>
      <c r="B53" s="1" t="s">
        <v>42</v>
      </c>
      <c r="C53" s="36">
        <v>1.0</v>
      </c>
      <c r="D53" s="1">
        <v>1.0</v>
      </c>
      <c r="E53" s="36">
        <v>1.0</v>
      </c>
      <c r="F53" s="1" t="s">
        <v>28</v>
      </c>
      <c r="G53" s="1" t="s">
        <v>61</v>
      </c>
      <c r="H53" s="2"/>
    </row>
    <row r="54">
      <c r="A54" s="34">
        <v>45754.0</v>
      </c>
      <c r="B54" s="1" t="s">
        <v>42</v>
      </c>
      <c r="C54" s="36">
        <v>1.0</v>
      </c>
      <c r="D54" s="1">
        <v>1.0</v>
      </c>
      <c r="E54" s="36">
        <v>1.0</v>
      </c>
      <c r="F54" s="1" t="s">
        <v>48</v>
      </c>
      <c r="G54" s="1" t="s">
        <v>29</v>
      </c>
      <c r="H54" s="2"/>
    </row>
    <row r="55">
      <c r="A55" s="34">
        <v>45754.0</v>
      </c>
      <c r="B55" s="1" t="s">
        <v>42</v>
      </c>
      <c r="C55" s="36">
        <v>1.0</v>
      </c>
      <c r="D55" s="1">
        <v>1.0</v>
      </c>
      <c r="E55" s="36">
        <v>1.0</v>
      </c>
      <c r="F55" s="1" t="s">
        <v>48</v>
      </c>
      <c r="G55" s="1" t="s">
        <v>29</v>
      </c>
      <c r="H55" s="2"/>
    </row>
    <row r="56">
      <c r="A56" s="34">
        <v>45754.0</v>
      </c>
      <c r="B56" s="1" t="s">
        <v>42</v>
      </c>
      <c r="C56" s="36">
        <v>1.0</v>
      </c>
      <c r="D56" s="1">
        <v>1.0</v>
      </c>
      <c r="E56" s="36">
        <v>1.0</v>
      </c>
      <c r="F56" s="1" t="s">
        <v>28</v>
      </c>
      <c r="G56" s="1" t="s">
        <v>29</v>
      </c>
      <c r="H56" s="2"/>
    </row>
    <row r="57">
      <c r="A57" s="34">
        <v>45754.0</v>
      </c>
      <c r="B57" s="1" t="s">
        <v>42</v>
      </c>
      <c r="C57" s="36">
        <v>1.0</v>
      </c>
      <c r="D57" s="1">
        <v>1.0</v>
      </c>
      <c r="E57" s="36">
        <v>1.0</v>
      </c>
      <c r="F57" s="1" t="s">
        <v>48</v>
      </c>
      <c r="G57" s="1" t="s">
        <v>29</v>
      </c>
      <c r="H57" s="2"/>
    </row>
    <row r="58">
      <c r="A58" s="34">
        <v>45754.0</v>
      </c>
      <c r="B58" s="1" t="s">
        <v>42</v>
      </c>
      <c r="C58" s="36">
        <v>1.0</v>
      </c>
      <c r="D58" s="1">
        <v>1.0</v>
      </c>
      <c r="E58" s="36">
        <v>1.0</v>
      </c>
      <c r="F58" s="1" t="s">
        <v>48</v>
      </c>
      <c r="G58" s="1" t="s">
        <v>34</v>
      </c>
      <c r="H58" s="2"/>
    </row>
    <row r="59">
      <c r="A59" s="34">
        <v>45754.0</v>
      </c>
      <c r="B59" s="1" t="s">
        <v>42</v>
      </c>
      <c r="C59" s="36">
        <v>1.0</v>
      </c>
      <c r="D59" s="1">
        <v>1.0</v>
      </c>
      <c r="E59" s="36">
        <v>1.0</v>
      </c>
      <c r="F59" s="1" t="s">
        <v>48</v>
      </c>
      <c r="G59" s="1" t="s">
        <v>29</v>
      </c>
      <c r="H59" s="2"/>
    </row>
    <row r="60">
      <c r="A60" s="34">
        <v>45754.0</v>
      </c>
      <c r="B60" s="1" t="s">
        <v>42</v>
      </c>
      <c r="C60" s="36">
        <v>1.0</v>
      </c>
      <c r="D60" s="1">
        <v>1.0</v>
      </c>
      <c r="E60" s="36">
        <v>5.0</v>
      </c>
      <c r="F60" s="1" t="s">
        <v>48</v>
      </c>
      <c r="G60" s="1" t="s">
        <v>29</v>
      </c>
      <c r="H60" s="1" t="s">
        <v>63</v>
      </c>
    </row>
    <row r="61">
      <c r="A61" s="1" t="s">
        <v>64</v>
      </c>
      <c r="B61" s="1" t="s">
        <v>42</v>
      </c>
      <c r="C61" s="36">
        <v>1.0</v>
      </c>
      <c r="D61" s="1">
        <v>1.0</v>
      </c>
      <c r="E61" s="37">
        <v>1.0</v>
      </c>
      <c r="F61" s="1" t="s">
        <v>28</v>
      </c>
      <c r="G61" s="1" t="s">
        <v>65</v>
      </c>
      <c r="H61" s="1"/>
    </row>
    <row r="62">
      <c r="A62" s="34"/>
      <c r="B62" s="1"/>
      <c r="C62" s="36"/>
      <c r="D62" s="1"/>
      <c r="E62" s="17"/>
      <c r="F62" s="1"/>
      <c r="G62" s="1"/>
      <c r="H62" s="2"/>
    </row>
    <row r="63">
      <c r="A63" s="34"/>
      <c r="B63" s="1"/>
      <c r="C63" s="36"/>
      <c r="D63" s="1"/>
      <c r="E63" s="17"/>
      <c r="F63" s="1"/>
      <c r="G63" s="1"/>
      <c r="H63" s="2"/>
    </row>
    <row r="64">
      <c r="A64" s="34"/>
      <c r="B64" s="1"/>
      <c r="C64" s="36"/>
      <c r="D64" s="1"/>
      <c r="E64" s="17"/>
      <c r="F64" s="1"/>
      <c r="G64" s="1"/>
      <c r="H64" s="2"/>
    </row>
    <row r="65">
      <c r="A65" s="34"/>
      <c r="B65" s="1"/>
      <c r="C65" s="36"/>
      <c r="D65" s="1"/>
      <c r="E65" s="17"/>
      <c r="F65" s="1"/>
      <c r="G65" s="1"/>
      <c r="H65" s="2"/>
    </row>
    <row r="66">
      <c r="A66" s="34"/>
      <c r="B66" s="1"/>
      <c r="C66" s="36"/>
      <c r="D66" s="1"/>
      <c r="E66" s="17"/>
      <c r="F66" s="1"/>
      <c r="G66" s="1"/>
      <c r="H66" s="2"/>
    </row>
    <row r="67">
      <c r="A67" s="34"/>
      <c r="B67" s="1"/>
      <c r="C67" s="36"/>
      <c r="D67" s="1"/>
      <c r="E67" s="17"/>
      <c r="F67" s="1"/>
      <c r="G67" s="1"/>
      <c r="H67" s="2"/>
    </row>
    <row r="68">
      <c r="H68" s="2"/>
    </row>
    <row r="69">
      <c r="H69" s="2"/>
    </row>
    <row r="70">
      <c r="H70" s="2"/>
    </row>
    <row r="71">
      <c r="H71" s="2"/>
    </row>
    <row r="72">
      <c r="H72" s="2"/>
    </row>
    <row r="73">
      <c r="H73" s="2"/>
    </row>
    <row r="74">
      <c r="H74" s="2"/>
    </row>
    <row r="75">
      <c r="H75" s="2"/>
    </row>
    <row r="76">
      <c r="H76" s="2"/>
    </row>
    <row r="77">
      <c r="H77" s="2"/>
    </row>
    <row r="78">
      <c r="H78" s="2"/>
    </row>
    <row r="79">
      <c r="H79" s="2"/>
    </row>
    <row r="80">
      <c r="H80" s="2"/>
    </row>
    <row r="81">
      <c r="H81" s="2"/>
    </row>
    <row r="82">
      <c r="H82" s="2"/>
    </row>
    <row r="83">
      <c r="H83" s="2"/>
    </row>
    <row r="84">
      <c r="H84" s="2"/>
    </row>
    <row r="85">
      <c r="H85" s="2"/>
    </row>
    <row r="86">
      <c r="H86" s="2"/>
    </row>
    <row r="87">
      <c r="H87" s="2"/>
    </row>
    <row r="88">
      <c r="H88" s="2"/>
    </row>
    <row r="89">
      <c r="H89" s="2"/>
    </row>
    <row r="90">
      <c r="H90" s="2"/>
    </row>
    <row r="91">
      <c r="H91" s="2"/>
    </row>
    <row r="92">
      <c r="H92" s="2"/>
    </row>
    <row r="93">
      <c r="H93" s="2"/>
    </row>
    <row r="94">
      <c r="H94" s="2"/>
    </row>
    <row r="95">
      <c r="H95" s="2"/>
    </row>
    <row r="96">
      <c r="H96" s="2"/>
    </row>
    <row r="97">
      <c r="H97" s="2"/>
    </row>
    <row r="98">
      <c r="H98" s="2"/>
    </row>
    <row r="99">
      <c r="H99" s="2"/>
    </row>
    <row r="100">
      <c r="H100" s="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4.88"/>
    <col customWidth="1" min="3" max="3" width="13.75"/>
  </cols>
  <sheetData>
    <row r="1">
      <c r="A1" s="9" t="s">
        <v>0</v>
      </c>
      <c r="B1" s="9" t="s">
        <v>66</v>
      </c>
      <c r="C1" s="9" t="s">
        <v>67</v>
      </c>
      <c r="D1" s="11" t="s">
        <v>68</v>
      </c>
      <c r="G1" s="1" t="s">
        <v>69</v>
      </c>
    </row>
    <row r="2">
      <c r="A2" s="43">
        <v>45741.0</v>
      </c>
      <c r="B2" s="9">
        <v>143.81</v>
      </c>
      <c r="C2" s="9">
        <f>143.81-26-26.9+7</f>
        <v>97.91</v>
      </c>
      <c r="D2" s="10">
        <f t="shared" ref="D2:D4" si="1">C2-B2</f>
        <v>-45.9</v>
      </c>
      <c r="G2" s="9" t="s">
        <v>70</v>
      </c>
      <c r="H2" s="9" t="s">
        <v>71</v>
      </c>
      <c r="I2" s="9" t="s">
        <v>72</v>
      </c>
      <c r="J2" s="9" t="s">
        <v>73</v>
      </c>
      <c r="K2" s="9" t="s">
        <v>74</v>
      </c>
      <c r="L2" s="9" t="s">
        <v>75</v>
      </c>
      <c r="M2" s="9" t="s">
        <v>76</v>
      </c>
      <c r="N2" s="9" t="s">
        <v>77</v>
      </c>
      <c r="O2" s="9" t="s">
        <v>78</v>
      </c>
      <c r="P2" s="9" t="s">
        <v>79</v>
      </c>
    </row>
    <row r="3">
      <c r="A3" s="44">
        <v>45742.0</v>
      </c>
      <c r="B3" s="9">
        <f>143.81-26-26.9+7</f>
        <v>97.91</v>
      </c>
      <c r="C3" s="9">
        <f>B3+12</f>
        <v>109.91</v>
      </c>
      <c r="D3" s="10">
        <f t="shared" si="1"/>
        <v>12</v>
      </c>
      <c r="G3" s="10">
        <f>SUM(D2:D6)</f>
        <v>107.6</v>
      </c>
    </row>
    <row r="4">
      <c r="A4" s="45">
        <v>45743.0</v>
      </c>
      <c r="B4" s="9">
        <f>C3</f>
        <v>109.91</v>
      </c>
      <c r="C4" s="46">
        <f>B4+160-(160*0.15)+4</f>
        <v>249.91</v>
      </c>
      <c r="D4" s="10">
        <f t="shared" si="1"/>
        <v>140</v>
      </c>
    </row>
    <row r="5">
      <c r="A5" s="45">
        <v>45744.0</v>
      </c>
      <c r="B5" s="9">
        <v>249.91</v>
      </c>
      <c r="C5" s="9">
        <v>256.91</v>
      </c>
      <c r="D5" s="11">
        <v>7.0</v>
      </c>
    </row>
    <row r="6">
      <c r="A6" s="45">
        <v>45747.0</v>
      </c>
      <c r="B6" s="46">
        <f t="shared" ref="B6:B11" si="2">C5</f>
        <v>256.91</v>
      </c>
      <c r="C6" s="46">
        <f>B6-5.5</f>
        <v>251.41</v>
      </c>
      <c r="D6" s="10">
        <f t="shared" ref="D6:D7" si="3">C6-B6</f>
        <v>-5.5</v>
      </c>
    </row>
    <row r="7">
      <c r="A7" s="45">
        <v>45748.0</v>
      </c>
      <c r="B7" s="13">
        <f t="shared" si="2"/>
        <v>251.41</v>
      </c>
      <c r="C7" s="46">
        <f>B7+16</f>
        <v>267.41</v>
      </c>
      <c r="D7" s="10">
        <f t="shared" si="3"/>
        <v>16</v>
      </c>
    </row>
    <row r="8">
      <c r="A8" s="45">
        <v>45749.0</v>
      </c>
      <c r="B8" s="46">
        <f t="shared" si="2"/>
        <v>267.41</v>
      </c>
      <c r="C8" s="10">
        <f t="shared" ref="C8:C10" si="4">B8+D8</f>
        <v>271.41</v>
      </c>
      <c r="D8" s="11">
        <f>20-16</f>
        <v>4</v>
      </c>
    </row>
    <row r="9">
      <c r="A9" s="44">
        <v>45750.0</v>
      </c>
      <c r="B9" s="10">
        <f t="shared" si="2"/>
        <v>271.41</v>
      </c>
      <c r="C9" s="10">
        <f t="shared" si="4"/>
        <v>291.41</v>
      </c>
      <c r="D9" s="11">
        <v>20.0</v>
      </c>
    </row>
    <row r="10">
      <c r="A10" s="44">
        <v>45751.0</v>
      </c>
      <c r="B10" s="10">
        <f t="shared" si="2"/>
        <v>291.41</v>
      </c>
      <c r="C10" s="10">
        <f t="shared" si="4"/>
        <v>297.41</v>
      </c>
      <c r="D10" s="11">
        <v>6.0</v>
      </c>
    </row>
    <row r="11">
      <c r="A11" s="44">
        <v>45754.0</v>
      </c>
      <c r="B11" s="10">
        <f t="shared" si="2"/>
        <v>297.41</v>
      </c>
      <c r="C11" s="10">
        <f>SUM(B11,D11)</f>
        <v>291.91</v>
      </c>
      <c r="D11" s="11">
        <v>-5.5</v>
      </c>
    </row>
    <row r="12">
      <c r="D12" s="10"/>
    </row>
    <row r="13">
      <c r="D13" s="10"/>
    </row>
    <row r="14">
      <c r="D14" s="10"/>
    </row>
    <row r="15">
      <c r="D15" s="10"/>
    </row>
    <row r="16">
      <c r="D16" s="10"/>
    </row>
    <row r="17">
      <c r="D17" s="10"/>
    </row>
    <row r="18">
      <c r="D18" s="10"/>
    </row>
    <row r="19">
      <c r="D19" s="10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  <row r="34">
      <c r="D34" s="10"/>
    </row>
    <row r="35">
      <c r="D35" s="10"/>
    </row>
    <row r="36">
      <c r="D36" s="10"/>
    </row>
    <row r="37"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D49" s="10"/>
    </row>
    <row r="50">
      <c r="D50" s="10"/>
    </row>
    <row r="51">
      <c r="D51" s="10"/>
    </row>
    <row r="52">
      <c r="D52" s="10"/>
    </row>
    <row r="53">
      <c r="D53" s="10"/>
    </row>
    <row r="54"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</sheetData>
  <mergeCells count="1">
    <mergeCell ref="G1:P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8" max="8" width="15.88"/>
    <col customWidth="1" min="9" max="9" width="17.38"/>
    <col customWidth="1" min="10" max="10" width="20.88"/>
    <col customWidth="1" min="12" max="12" width="15.38"/>
  </cols>
  <sheetData>
    <row r="1">
      <c r="A1" s="9" t="s">
        <v>80</v>
      </c>
      <c r="B1" s="11">
        <v>24.0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16</v>
      </c>
    </row>
    <row r="2">
      <c r="A2" s="9" t="s">
        <v>87</v>
      </c>
      <c r="B2" s="11">
        <v>7.49</v>
      </c>
      <c r="F2" s="5">
        <f>B6</f>
        <v>84.39</v>
      </c>
      <c r="G2" s="4">
        <f>90</f>
        <v>90</v>
      </c>
      <c r="H2" s="4">
        <f>5</f>
        <v>5</v>
      </c>
      <c r="I2" s="1">
        <v>25.0</v>
      </c>
      <c r="J2" s="4">
        <f>I2*H2</f>
        <v>125</v>
      </c>
      <c r="K2" s="4">
        <f>J2-F2</f>
        <v>40.61</v>
      </c>
      <c r="L2" s="47">
        <f>K2/J2</f>
        <v>0.32488</v>
      </c>
    </row>
    <row r="3">
      <c r="A3" s="9" t="s">
        <v>88</v>
      </c>
      <c r="B3" s="11">
        <v>20.0</v>
      </c>
    </row>
    <row r="4">
      <c r="A4" s="9" t="s">
        <v>89</v>
      </c>
      <c r="B4" s="11">
        <v>6.0</v>
      </c>
    </row>
    <row r="5">
      <c r="A5" s="9" t="s">
        <v>90</v>
      </c>
      <c r="B5" s="11">
        <v>26.9</v>
      </c>
    </row>
    <row r="6">
      <c r="A6" s="9" t="s">
        <v>91</v>
      </c>
      <c r="B6" s="11">
        <f>SUM(B1:B5)</f>
        <v>84.39</v>
      </c>
    </row>
    <row r="7">
      <c r="B7" s="10"/>
    </row>
    <row r="8">
      <c r="B8" s="10"/>
    </row>
    <row r="9">
      <c r="B9" s="10"/>
    </row>
    <row r="10">
      <c r="B10" s="10"/>
    </row>
    <row r="11">
      <c r="B11" s="10"/>
    </row>
    <row r="12">
      <c r="B12" s="10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>
      <c r="A2" s="9" t="s">
        <v>97</v>
      </c>
      <c r="B2" s="9" t="s">
        <v>98</v>
      </c>
      <c r="C2" s="9" t="s">
        <v>99</v>
      </c>
      <c r="D2" s="41">
        <v>45749.0</v>
      </c>
      <c r="E2" s="41">
        <v>45749.0</v>
      </c>
    </row>
  </sheetData>
  <drawing r:id="rId1"/>
</worksheet>
</file>